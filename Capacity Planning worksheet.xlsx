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026767\Documents\GitHub\Capacity-Planner\"/>
    </mc:Choice>
  </mc:AlternateContent>
  <xr:revisionPtr revIDLastSave="0" documentId="8_{F323218C-C264-440D-82D2-8BE56D0146ED}" xr6:coauthVersionLast="47" xr6:coauthVersionMax="47" xr10:uidLastSave="{00000000-0000-0000-0000-000000000000}"/>
  <bookViews>
    <workbookView xWindow="4940" yWindow="4940" windowWidth="28800" windowHeight="15370" activeTab="3" xr2:uid="{282B3D6D-EB8B-46FF-A1FC-2231A2691BBB}"/>
  </bookViews>
  <sheets>
    <sheet name="Read Me" sheetId="3" r:id="rId1"/>
    <sheet name="Capacity Provider" sheetId="1" r:id="rId2"/>
    <sheet name="Capacity Consumer" sheetId="2" r:id="rId3"/>
    <sheet name="Cost Comparison" sheetId="4" r:id="rId4"/>
  </sheets>
  <definedNames>
    <definedName name="ESXi.CPU.Usable.Capacity.Allocation">'Capacity Provider'!$D$24</definedName>
    <definedName name="ESXi.CPU.Usable.Capacity.Reservation" comment="The number of CPU Cycles available for workload. Based on the Reservation Model.">'Capacity Provider'!$D$44</definedName>
    <definedName name="ESXi.CPU.Usable.Capacity.Utilization" comment="The number of physical CPU Threads available for workload. Based on the Utilization Model.">'Capacity Provider'!$D$19</definedName>
    <definedName name="Hypervisor.Overhead.CPU" comment="ESXi + NSX + vSAN kernel modules overhead">'Capacity Provider'!$D$17</definedName>
    <definedName name="Hypervisor.Overhead.Memory">'Capacity Provider'!$D$27</definedName>
    <definedName name="Silver.VM.RAM" comment="The default size for Silver VM is 32 GB RAM.">'Capacity Consumer'!$D$26</definedName>
    <definedName name="Silver.VM.vCPU" comment="The default size for Silver VM is 8 vCPU.">'Capacity Consumer'!$D$23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23" i="3"/>
  <c r="G23" i="3" s="1"/>
  <c r="G24" i="3"/>
  <c r="G78" i="2"/>
  <c r="G76" i="2"/>
  <c r="G68" i="2"/>
  <c r="G66" i="2"/>
  <c r="G58" i="2"/>
  <c r="G56" i="2"/>
  <c r="D39" i="4"/>
  <c r="C39" i="4"/>
  <c r="C38" i="4"/>
  <c r="C37" i="4"/>
  <c r="C40" i="4" s="1"/>
  <c r="D28" i="4"/>
  <c r="C28" i="4"/>
  <c r="C27" i="4"/>
  <c r="C29" i="4" s="1"/>
  <c r="C26" i="4"/>
  <c r="E17" i="4"/>
  <c r="D17" i="4"/>
  <c r="C17" i="4"/>
  <c r="C18" i="4" s="1"/>
  <c r="C16" i="4"/>
  <c r="C15" i="4"/>
  <c r="C9" i="4"/>
  <c r="C79" i="2"/>
  <c r="L78" i="2"/>
  <c r="J78" i="2"/>
  <c r="H78" i="2"/>
  <c r="D78" i="2"/>
  <c r="C69" i="2"/>
  <c r="H68" i="2"/>
  <c r="D68" i="2"/>
  <c r="C59" i="2"/>
  <c r="I58" i="2"/>
  <c r="I68" i="2" s="1"/>
  <c r="I78" i="2" s="1"/>
  <c r="H58" i="2"/>
  <c r="E58" i="2"/>
  <c r="D58" i="2"/>
  <c r="I57" i="2"/>
  <c r="I67" i="2" s="1"/>
  <c r="H77" i="2"/>
  <c r="D57" i="2"/>
  <c r="M57" i="2" s="1"/>
  <c r="I56" i="2"/>
  <c r="I66" i="2" s="1"/>
  <c r="C35" i="2"/>
  <c r="D28" i="2"/>
  <c r="E28" i="2" s="1"/>
  <c r="E26" i="2"/>
  <c r="E28" i="4" s="1"/>
  <c r="D25" i="2"/>
  <c r="E25" i="2" s="1"/>
  <c r="M78" i="2" s="1"/>
  <c r="D24" i="2"/>
  <c r="E24" i="2" s="1"/>
  <c r="K78" i="2" s="1"/>
  <c r="D23" i="2"/>
  <c r="D16" i="4" s="1"/>
  <c r="C23" i="2"/>
  <c r="C26" i="2" s="1"/>
  <c r="D44" i="1"/>
  <c r="E24" i="3" s="1"/>
  <c r="D39" i="1"/>
  <c r="D37" i="1"/>
  <c r="D15" i="1"/>
  <c r="D5" i="1"/>
  <c r="D28" i="1" l="1"/>
  <c r="D52" i="1" s="1"/>
  <c r="M68" i="2"/>
  <c r="L56" i="2"/>
  <c r="E37" i="4"/>
  <c r="L66" i="2"/>
  <c r="E15" i="4"/>
  <c r="E56" i="2"/>
  <c r="E26" i="4"/>
  <c r="L76" i="2"/>
  <c r="E76" i="2"/>
  <c r="E66" i="2"/>
  <c r="F39" i="4"/>
  <c r="M58" i="2"/>
  <c r="F26" i="4"/>
  <c r="N58" i="2"/>
  <c r="F28" i="4"/>
  <c r="K58" i="2"/>
  <c r="D77" i="2"/>
  <c r="M77" i="2" s="1"/>
  <c r="F17" i="4"/>
  <c r="D26" i="2"/>
  <c r="D38" i="4"/>
  <c r="D56" i="2"/>
  <c r="J58" i="2"/>
  <c r="D15" i="4"/>
  <c r="F15" i="4" s="1"/>
  <c r="D27" i="4"/>
  <c r="D66" i="2"/>
  <c r="K57" i="2"/>
  <c r="D37" i="4"/>
  <c r="F37" i="4" s="1"/>
  <c r="D76" i="2"/>
  <c r="D26" i="4"/>
  <c r="L58" i="2"/>
  <c r="E39" i="4"/>
  <c r="H76" i="2"/>
  <c r="H79" i="2" s="1"/>
  <c r="E68" i="2"/>
  <c r="N68" i="2" s="1"/>
  <c r="K66" i="2"/>
  <c r="D67" i="2"/>
  <c r="M67" i="2" s="1"/>
  <c r="J68" i="2"/>
  <c r="L68" i="2"/>
  <c r="E78" i="2"/>
  <c r="N78" i="2" s="1"/>
  <c r="D19" i="1"/>
  <c r="K67" i="2"/>
  <c r="K76" i="2"/>
  <c r="D41" i="1"/>
  <c r="C12" i="2" s="1"/>
  <c r="K68" i="2"/>
  <c r="I77" i="2"/>
  <c r="J77" i="2" s="1"/>
  <c r="J67" i="2"/>
  <c r="J66" i="2"/>
  <c r="I76" i="2"/>
  <c r="J76" i="2" s="1"/>
  <c r="H57" i="2"/>
  <c r="H67" i="2"/>
  <c r="J57" i="2"/>
  <c r="D40" i="1"/>
  <c r="K77" i="2"/>
  <c r="H56" i="2"/>
  <c r="H66" i="2"/>
  <c r="J56" i="2"/>
  <c r="K56" i="2"/>
  <c r="D53" i="1" l="1"/>
  <c r="F23" i="3" s="1"/>
  <c r="C9" i="2"/>
  <c r="M76" i="2"/>
  <c r="M79" i="2" s="1"/>
  <c r="D79" i="2"/>
  <c r="N56" i="2"/>
  <c r="D59" i="2"/>
  <c r="M56" i="2"/>
  <c r="M59" i="2" s="1"/>
  <c r="M60" i="2" s="1"/>
  <c r="K59" i="2"/>
  <c r="K60" i="2" s="1"/>
  <c r="M80" i="2"/>
  <c r="E16" i="4"/>
  <c r="F16" i="4" s="1"/>
  <c r="F18" i="4" s="1"/>
  <c r="F20" i="4" s="1"/>
  <c r="F21" i="4" s="1"/>
  <c r="E57" i="2"/>
  <c r="N57" i="2" s="1"/>
  <c r="E27" i="4"/>
  <c r="F27" i="4" s="1"/>
  <c r="F29" i="4" s="1"/>
  <c r="F31" i="4" s="1"/>
  <c r="F32" i="4" s="1"/>
  <c r="L77" i="2"/>
  <c r="L79" i="2" s="1"/>
  <c r="L57" i="2"/>
  <c r="L59" i="2" s="1"/>
  <c r="E77" i="2"/>
  <c r="N77" i="2" s="1"/>
  <c r="L67" i="2"/>
  <c r="L69" i="2" s="1"/>
  <c r="E67" i="2"/>
  <c r="N67" i="2" s="1"/>
  <c r="E38" i="4"/>
  <c r="F38" i="4" s="1"/>
  <c r="F40" i="4" s="1"/>
  <c r="F42" i="4" s="1"/>
  <c r="F43" i="4" s="1"/>
  <c r="N66" i="2"/>
  <c r="E69" i="2"/>
  <c r="N76" i="2"/>
  <c r="M66" i="2"/>
  <c r="M69" i="2" s="1"/>
  <c r="M70" i="2" s="1"/>
  <c r="D69" i="2"/>
  <c r="K79" i="2"/>
  <c r="K80" i="2" s="1"/>
  <c r="C11" i="2"/>
  <c r="E25" i="3"/>
  <c r="G25" i="3" s="1"/>
  <c r="D30" i="1"/>
  <c r="D24" i="1"/>
  <c r="E50" i="1" s="1"/>
  <c r="H59" i="2"/>
  <c r="K69" i="2"/>
  <c r="K70" i="2" s="1"/>
  <c r="J59" i="2"/>
  <c r="H69" i="2"/>
  <c r="J79" i="2"/>
  <c r="J69" i="2"/>
  <c r="F52" i="1"/>
  <c r="E8" i="2" s="1"/>
  <c r="E52" i="1"/>
  <c r="D8" i="2" s="1"/>
  <c r="C8" i="2"/>
  <c r="C13" i="2" s="1"/>
  <c r="N69" i="2" l="1"/>
  <c r="N70" i="2" s="1"/>
  <c r="C14" i="2"/>
  <c r="J80" i="2"/>
  <c r="H25" i="3"/>
  <c r="H24" i="3"/>
  <c r="H23" i="3"/>
  <c r="J70" i="2"/>
  <c r="J60" i="2"/>
  <c r="D50" i="1"/>
  <c r="C7" i="2" s="1"/>
  <c r="F50" i="1"/>
  <c r="E7" i="2" s="1"/>
  <c r="H80" i="2" s="1"/>
  <c r="N59" i="2"/>
  <c r="N60" i="2" s="1"/>
  <c r="E79" i="2"/>
  <c r="E59" i="2"/>
  <c r="N79" i="2"/>
  <c r="N80" i="2" s="1"/>
  <c r="D7" i="2"/>
  <c r="L80" i="2"/>
  <c r="L60" i="2"/>
  <c r="L70" i="2"/>
  <c r="H60" i="2" l="1"/>
  <c r="H7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tc={6A9669AD-9E3B-4598-AC38-C3F679B3DD9F}</author>
    <author>tc={E6F71ED6-B2E5-415B-B6BC-D4788EF93012}</author>
    <author>tc={B638962A-7363-49CB-9985-A41790963C06}</author>
    <author>tc={79498161-FF34-48A2-8599-CE0073CA4D40}</author>
  </authors>
  <commentList>
    <comment ref="C11" authorId="0" shapeId="0" xr:uid="{6A9669AD-9E3B-4598-AC38-C3F679B3DD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visible as it’s based on All Core Turbo</t>
      </text>
    </comment>
    <comment ref="B24" authorId="1" shapeId="0" xr:uid="{E6F71ED6-B2E5-415B-B6BC-D4788EF93012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set CPU at 100%, there is a chance you cannot provision despite having enough capacity. The reason is VM provisioning does not consider HT and All Cores Turbo</t>
      </text>
    </comment>
    <comment ref="B25" authorId="2" shapeId="0" xr:uid="{B638962A-7363-49CB-9985-A41790963C06}">
      <text>
        <t>[Threaded comment]
Your version of Excel allows you to read this threaded comment; however, any edits to it will get removed if the file is opened in a newer version of Excel. Learn more: https://go.microsoft.com/fwlink/?linkid=870924
Comment:
    While a few VM may spike to 100%, they entire cluster load tend to be much smoother</t>
      </text>
    </comment>
    <comment ref="B28" authorId="3" shapeId="0" xr:uid="{79498161-FF34-48A2-8599-CE0073CA4D40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its “sticky” nature, memory consumed tends to go high</t>
      </text>
    </comment>
  </commentList>
</comments>
</file>

<file path=xl/sharedStrings.xml><?xml version="1.0" encoding="utf-8"?>
<sst xmlns="http://schemas.openxmlformats.org/spreadsheetml/2006/main" count="280" uniqueCount="176">
  <si>
    <t>CPU Speed</t>
  </si>
  <si>
    <t>Core</t>
  </si>
  <si>
    <t>RAM</t>
  </si>
  <si>
    <t>GB RAM</t>
  </si>
  <si>
    <t>NVMe</t>
  </si>
  <si>
    <t>GHz</t>
  </si>
  <si>
    <t>cores</t>
  </si>
  <si>
    <t>All Core Turbo</t>
  </si>
  <si>
    <t>Total Capacity</t>
  </si>
  <si>
    <t>Thread</t>
  </si>
  <si>
    <t>threads</t>
  </si>
  <si>
    <t>CPU</t>
  </si>
  <si>
    <t>Usable Capacity</t>
  </si>
  <si>
    <t>Memory</t>
  </si>
  <si>
    <t>Class of Service</t>
  </si>
  <si>
    <t>Gold is 2x the price of Silver, and 4x the price of Bronze</t>
  </si>
  <si>
    <t>To support the pricing strategy, it needs to have consistent Price/Performance Ratio</t>
  </si>
  <si>
    <t>The "performance" part is achieved by both overcommit ratio and reservation</t>
  </si>
  <si>
    <t>Gold Class has half the overcommit ratio. The VM enjoys 2x the reservation amount of silver</t>
  </si>
  <si>
    <t>Gold</t>
  </si>
  <si>
    <t>Silver</t>
  </si>
  <si>
    <t>Bronze</t>
  </si>
  <si>
    <t>CPU Overcommit Ratio</t>
  </si>
  <si>
    <t>Summary of ESXi Usable Capacity</t>
  </si>
  <si>
    <t>Reservation Model</t>
  </si>
  <si>
    <t>CPU Usable Capacity</t>
  </si>
  <si>
    <t>Memory Usable Capacity</t>
  </si>
  <si>
    <t>Average VM Size</t>
  </si>
  <si>
    <t>As this is just at the planning stage, it's better to use 1 size for each class.</t>
  </si>
  <si>
    <t>We keep the ratio between Gold, Silver and Bronze consistent.</t>
  </si>
  <si>
    <t>Memory uses memory tiering for non Gold. To be conservative, we only apply for allocation, not reservation</t>
  </si>
  <si>
    <t>No of VM</t>
  </si>
  <si>
    <t>Allocation Model</t>
  </si>
  <si>
    <t>Existing Data</t>
  </si>
  <si>
    <t>Gold Class VM</t>
  </si>
  <si>
    <t>Silver Class VM</t>
  </si>
  <si>
    <t>Bronze Class VM</t>
  </si>
  <si>
    <t>You can add Share, although that increases operational complexity</t>
  </si>
  <si>
    <t>Total</t>
  </si>
  <si>
    <t>threads available for VM. This is the amount we can overcommit</t>
  </si>
  <si>
    <t>Modify the green cells to suit your scenario</t>
  </si>
  <si>
    <t>Do not modify. They are formula</t>
  </si>
  <si>
    <t>Which cells can you modify?</t>
  </si>
  <si>
    <t>The sheets</t>
  </si>
  <si>
    <t>ESXi portion</t>
  </si>
  <si>
    <t>VM portion</t>
  </si>
  <si>
    <t>This covers the total capacity. Since the Usable Capacity is a function of the Overcommit Ratio, this is covered here too</t>
  </si>
  <si>
    <t>Multiplier</t>
  </si>
  <si>
    <t>CPU Multiplier</t>
  </si>
  <si>
    <t>RAM Multiplier</t>
  </si>
  <si>
    <t>This covers the consumption.</t>
  </si>
  <si>
    <t>It has 3 scenarios, one for each class of services</t>
  </si>
  <si>
    <t>Each scenario has mixed workload as that's most common deployment</t>
  </si>
  <si>
    <t>Goal</t>
  </si>
  <si>
    <t>How many VMs can I fit while balancing cost and performance?</t>
  </si>
  <si>
    <t>Aim to maximise usage of capacity. Stop when any of the cells under Capacity Used hit 100%</t>
  </si>
  <si>
    <t>Reservation impacts DRS and Resource Pools as it makes the "chunk" bigger. While it's necessary in a spreadsheet, avoid using in actual production.</t>
  </si>
  <si>
    <t>HT gives 1.25x CPU cycles, not 2.x</t>
  </si>
  <si>
    <t>Replace with the actual speed of your hardware</t>
  </si>
  <si>
    <t>vRAM available for VM. Memory Tiering is not yet included because Gold has no overcommit</t>
  </si>
  <si>
    <t>Overhead in %</t>
  </si>
  <si>
    <t>threads for ESXi + vSAN + NSX. NSX EDP adds 2-4 cores. vSAN File Services needs 2 vCPU as it's a VM</t>
  </si>
  <si>
    <t>Total CPU Cycles</t>
  </si>
  <si>
    <t>Usable CPU Cycles</t>
  </si>
  <si>
    <t>threads for ESXi + vSAN + NSX</t>
  </si>
  <si>
    <t>Capacity vs Performance</t>
  </si>
  <si>
    <r>
      <t xml:space="preserve">Capacity uses thread as the unit. It does </t>
    </r>
    <r>
      <rPr>
        <sz val="11"/>
        <color rgb="FFFF0000"/>
        <rFont val="Calibri"/>
        <family val="2"/>
      </rPr>
      <t>not</t>
    </r>
    <r>
      <rPr>
        <sz val="11"/>
        <color theme="1"/>
        <rFont val="Calibri"/>
        <family val="2"/>
      </rPr>
      <t xml:space="preserve"> care about the speed (performance) of the CPU.</t>
    </r>
  </si>
  <si>
    <t>Overcommit Ratio is measured against Usable Capacity, not Total</t>
  </si>
  <si>
    <t>ESXi CPU : RAM ratio</t>
  </si>
  <si>
    <t>This means we can go memory heavy. If your workload is CPU heavy, buy less RAM</t>
  </si>
  <si>
    <t>Because it's higher than the 4:1 ratio of the VM configuration, we should lower the CPU Reservation to maximise consumption</t>
  </si>
  <si>
    <t>This is higher as HT does not give 2x</t>
  </si>
  <si>
    <t>Take note that vSphere reservation is capped using base nominal clock speed</t>
  </si>
  <si>
    <t>Max CPU Reservation</t>
  </si>
  <si>
    <t>Reservation is set high as that's customers expectation</t>
  </si>
  <si>
    <t>The ratio among the class of services matches the overcommit ratio. This makes it appear fair, which ease acceptance</t>
  </si>
  <si>
    <t>CPU is set lower than memory as there is relatively less capacity available in this specific ESXi hardware spec.</t>
  </si>
  <si>
    <t>GB RAM per vCPU</t>
  </si>
  <si>
    <t>GB</t>
  </si>
  <si>
    <t>CPU Reservable Capacity</t>
  </si>
  <si>
    <t>Memory Reservable Capacity</t>
  </si>
  <si>
    <t xml:space="preserve">Configured CPU </t>
  </si>
  <si>
    <t>Typical VM Size</t>
  </si>
  <si>
    <t xml:space="preserve">Configured Memory </t>
  </si>
  <si>
    <t xml:space="preserve">     Reserved percentage</t>
  </si>
  <si>
    <t>How many VM can we fit?</t>
  </si>
  <si>
    <t xml:space="preserve">Because the ESXi runs mixed classes, which Usable Capacity do we use? </t>
  </si>
  <si>
    <t>Aim for around 90% - 110%</t>
  </si>
  <si>
    <t>Overall Planned Consumption</t>
  </si>
  <si>
    <t>vCPU Available for VM</t>
  </si>
  <si>
    <t>Memory Available for VM (without Tiering)</t>
  </si>
  <si>
    <t>To keep MS Excel formula readable, we copy the data on this sheet from the ESXi sheet</t>
  </si>
  <si>
    <t>We use Bronze, but we multiply the weight of Gold by 4x and Silver by 2x</t>
  </si>
  <si>
    <t>This matches the Price/Performance so it's fair to tenants</t>
  </si>
  <si>
    <t>How many VMs can be placed depends on the class of service. The following tables show 3 common scenarios</t>
  </si>
  <si>
    <t>Public Cloud Cost</t>
  </si>
  <si>
    <t>CPU Price</t>
  </si>
  <si>
    <t>per vCPU per year</t>
  </si>
  <si>
    <t>RAM Price</t>
  </si>
  <si>
    <t>per GB per year</t>
  </si>
  <si>
    <t>VM Size</t>
  </si>
  <si>
    <t>vCPU</t>
  </si>
  <si>
    <t>This is based on the average of AWS, Azure and Google GCP</t>
  </si>
  <si>
    <t>For details how we got this number, see https://docs.google.com/spreadsheets/d/1gRXwvZSIhz_C2bEQbrHmQsudqYq47LI0xYcBBwxSXO8/edit?usp=sharing</t>
  </si>
  <si>
    <t>Private Cloud total cost</t>
  </si>
  <si>
    <t>Reference</t>
  </si>
  <si>
    <t>Cluster HA</t>
  </si>
  <si>
    <t>Hypervisor Overhead</t>
  </si>
  <si>
    <t>5 Year Public Cloud spending</t>
  </si>
  <si>
    <t>Private Cloud Cost</t>
  </si>
  <si>
    <t>Savings with Private Cloud</t>
  </si>
  <si>
    <t>per ESXi</t>
  </si>
  <si>
    <t>The cost needs to include 1 HA host per cluster. This model uses 9+1 hosts per cluster</t>
  </si>
  <si>
    <t>Total vCPU</t>
  </si>
  <si>
    <t>Total vRAM</t>
  </si>
  <si>
    <t>Reservation is computed in MHz, hence we need to follow</t>
  </si>
  <si>
    <t>Memory Available for VM (with Tiering)</t>
  </si>
  <si>
    <t>Memory Overcommit Ratio (against DRAM)</t>
  </si>
  <si>
    <t>Memory Usable with Tiering</t>
  </si>
  <si>
    <t>Memory Tiering enable higher overcommit, hence we use 1 number for all classes</t>
  </si>
  <si>
    <t>Memory Reservable with Tiering</t>
  </si>
  <si>
    <t>Planning Scenario: Mostly Gold VMs</t>
  </si>
  <si>
    <t>Planning Scenario: Mostly Silver VMs</t>
  </si>
  <si>
    <t>Planning Scenario: Mostly Bronze VMs</t>
  </si>
  <si>
    <t>Public Cloud does not have Class of Service. Gold VM is treated the same way as Bronze VM. The entire philosophy of public cloud is Cattle, not Pet.</t>
  </si>
  <si>
    <t>Capacity begin with ESXi. Choose a CPU and Memory size that is balanced to avoid wastage</t>
  </si>
  <si>
    <t>Cluster size</t>
  </si>
  <si>
    <t>ESXi hosts. 9 + 1 HA</t>
  </si>
  <si>
    <t>1 of 10 hosts is for availability, hence 10% buffer</t>
  </si>
  <si>
    <t>GB RAM. I'm using 50%</t>
  </si>
  <si>
    <t>Usable Capacity (not visible)</t>
  </si>
  <si>
    <t xml:space="preserve">The reason why it's not exact (e.g. 99%) is you're at planning stage. </t>
  </si>
  <si>
    <t>Expected Utilization "Together"</t>
  </si>
  <si>
    <t>Total Thread</t>
  </si>
  <si>
    <t>of base frequency. Replace with the actual speed of the CPU</t>
  </si>
  <si>
    <t>This is the actual speed the VM gets when all cores are running</t>
  </si>
  <si>
    <t>Supply has Turbo Boost, which is not yet included</t>
  </si>
  <si>
    <t>The cost is likely higher as the above does not include egress network</t>
  </si>
  <si>
    <t>We need to calculate the Usable Capacity as Capacity must be based on amount available to VM</t>
  </si>
  <si>
    <t>If you run vSAN dedupe, compress, and heavy network services, increase to 14</t>
  </si>
  <si>
    <t>See CPU for explanation. Adjust accordingly</t>
  </si>
  <si>
    <t xml:space="preserve">When a core is running, its actual speed varies over time. </t>
  </si>
  <si>
    <t>This is what you get when all cores run. To be conservative, we're not using this number in the capacity</t>
  </si>
  <si>
    <t xml:space="preserve"> To be conservative, we're not using this number in the capacity</t>
  </si>
  <si>
    <t>Based on Allocation</t>
  </si>
  <si>
    <t>Based on Reservation</t>
  </si>
  <si>
    <t>Based on Utilization</t>
  </si>
  <si>
    <t>Demand depends on the max of VM (utilization, reservation), which we don't know as it depends on each VM</t>
  </si>
  <si>
    <r>
      <t>The "</t>
    </r>
    <r>
      <rPr>
        <b/>
        <sz val="11"/>
        <color theme="1"/>
        <rFont val="Calibri"/>
        <family val="2"/>
      </rPr>
      <t>Overall Planned Consumption</t>
    </r>
    <r>
      <rPr>
        <sz val="11"/>
        <color theme="1"/>
        <rFont val="Calibri"/>
        <family val="2"/>
      </rPr>
      <t>" rows have been color coded for ease of checking</t>
    </r>
  </si>
  <si>
    <t>Throughput Consideration</t>
  </si>
  <si>
    <t>Reservation</t>
  </si>
  <si>
    <t>CPU Cycles</t>
  </si>
  <si>
    <t>System Reservation</t>
  </si>
  <si>
    <t>Typically this is around 8 GHz</t>
  </si>
  <si>
    <t>Summary</t>
  </si>
  <si>
    <t>How many VM will fit on a typical ESXi with 64 cores and 768 GB of RAM?</t>
  </si>
  <si>
    <t>Capacity Model</t>
  </si>
  <si>
    <t>ESXi Usable Capacity</t>
  </si>
  <si>
    <t>How many Silver VM will fit?</t>
  </si>
  <si>
    <t>Allocation</t>
  </si>
  <si>
    <t>Utilization</t>
  </si>
  <si>
    <t>CPU: Utilization Model</t>
  </si>
  <si>
    <t>vCPU per thread. Do not do over core as HT can be disabled</t>
  </si>
  <si>
    <t>Default Overcommit Ratio</t>
  </si>
  <si>
    <t>CPU: Allocation Model</t>
  </si>
  <si>
    <t>The speed impacts the throughput. A slow down is speed is not the same as VM facing CPU ready or co-stop</t>
  </si>
  <si>
    <t>Silver is the default setting</t>
  </si>
  <si>
    <t>2 vCPU is chosen per thread as most of the time VM run well below 50%</t>
  </si>
  <si>
    <t>In a running environment, measure contention explicitly</t>
  </si>
  <si>
    <t>Aim to meet the promised Performance SLA (lagging indicator) by measuring KPI (leading indicator)</t>
  </si>
  <si>
    <t>Unlike CPU, memory has the same Usable Capacity number for all 3 models</t>
  </si>
  <si>
    <t>3 models included</t>
  </si>
  <si>
    <t xml:space="preserve">Utilization </t>
  </si>
  <si>
    <t>This needs a default overcommit ratio</t>
  </si>
  <si>
    <t xml:space="preserve">CPU is more complex as it has 3 different units, hence 3 different numbers. </t>
  </si>
  <si>
    <t>Memory can have more VM as it includes 50% of memory tiering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</si>
</sst>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4" formatCode="_(&quot;$&quot;* #,##0.00_);_(&quot;$&quot;* \(#,##0.00\);_(&quot;$&quot;* &quot;-&quot;??_);_(@_)"/>
    <numFmt numFmtId="164" formatCode="0.0\ \x"/>
    <numFmt numFmtId="165" formatCode="0\ \v\C\P\U"/>
    <numFmt numFmtId="166" formatCode="0\ \G\B"/>
    <numFmt numFmtId="167" formatCode="0\ \G\H\z"/>
    <numFmt numFmtId="168" formatCode="0.0%"/>
    <numFmt numFmtId="169" formatCode="0.0\ \G\H\z"/>
    <numFmt numFmtId="170" formatCode="0.0\ \ \:\ \1"/>
    <numFmt numFmtId="171" formatCode="0.0"/>
    <numFmt numFmtId="172" formatCode="_(&quot;$&quot;* #,##0_);_(&quot;$&quot;* \(#,##0\);_(&quot;$&quot;* &quot;-&quot;??_);_(@_)"/>
    <numFmt numFmtId="173" formatCode="0.00\ \x"/>
    <numFmt numFmtId="174" formatCode="0\ \t\h\r\e\a\d"/>
    <numFmt numFmtId="175" formatCode="0\ \ \V\M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4" borderId="1" xfId="0" applyFont="1" applyFill="1" applyBorder="1"/>
    <xf numFmtId="0" fontId="4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5" fontId="4" fillId="3" borderId="5" xfId="0" applyNumberFormat="1" applyFont="1" applyFill="1" applyBorder="1"/>
    <xf numFmtId="165" fontId="4" fillId="3" borderId="0" xfId="0" applyNumberFormat="1" applyFont="1" applyFill="1"/>
    <xf numFmtId="166" fontId="4" fillId="3" borderId="0" xfId="0" applyNumberFormat="1" applyFont="1" applyFill="1"/>
    <xf numFmtId="166" fontId="4" fillId="3" borderId="5" xfId="0" applyNumberFormat="1" applyFont="1" applyFill="1" applyBorder="1"/>
    <xf numFmtId="0" fontId="4" fillId="0" borderId="5" xfId="0" applyFont="1" applyBorder="1"/>
    <xf numFmtId="0" fontId="4" fillId="0" borderId="4" xfId="0" applyFont="1" applyBorder="1" applyAlignment="1">
      <alignment horizontal="left" indent="2"/>
    </xf>
    <xf numFmtId="164" fontId="4" fillId="3" borderId="0" xfId="0" applyNumberFormat="1" applyFont="1" applyFill="1"/>
    <xf numFmtId="164" fontId="4" fillId="3" borderId="5" xfId="0" applyNumberFormat="1" applyFont="1" applyFill="1" applyBorder="1"/>
    <xf numFmtId="0" fontId="4" fillId="0" borderId="6" xfId="0" applyFont="1" applyBorder="1" applyAlignment="1">
      <alignment horizontal="left" indent="2"/>
    </xf>
    <xf numFmtId="165" fontId="4" fillId="2" borderId="5" xfId="0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7" fontId="4" fillId="3" borderId="0" xfId="0" applyNumberFormat="1" applyFont="1" applyFill="1"/>
    <xf numFmtId="0" fontId="3" fillId="4" borderId="6" xfId="0" applyFont="1" applyFill="1" applyBorder="1"/>
    <xf numFmtId="169" fontId="4" fillId="2" borderId="0" xfId="0" applyNumberFormat="1" applyFont="1" applyFill="1"/>
    <xf numFmtId="166" fontId="4" fillId="2" borderId="0" xfId="0" applyNumberFormat="1" applyFont="1" applyFill="1"/>
    <xf numFmtId="168" fontId="4" fillId="3" borderId="0" xfId="1" applyNumberFormat="1" applyFont="1" applyFill="1"/>
    <xf numFmtId="170" fontId="4" fillId="3" borderId="0" xfId="1" applyNumberFormat="1" applyFont="1" applyFill="1" applyBorder="1"/>
    <xf numFmtId="0" fontId="4" fillId="0" borderId="0" xfId="0" applyFont="1" applyAlignment="1">
      <alignment horizontal="left"/>
    </xf>
    <xf numFmtId="9" fontId="4" fillId="3" borderId="0" xfId="1" applyFont="1" applyFill="1" applyBorder="1"/>
    <xf numFmtId="9" fontId="4" fillId="3" borderId="5" xfId="1" applyFont="1" applyFill="1" applyBorder="1"/>
    <xf numFmtId="166" fontId="4" fillId="2" borderId="5" xfId="0" applyNumberFormat="1" applyFont="1" applyFill="1" applyBorder="1"/>
    <xf numFmtId="1" fontId="4" fillId="3" borderId="0" xfId="0" applyNumberFormat="1" applyFont="1" applyFill="1"/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4"/>
    </xf>
    <xf numFmtId="171" fontId="4" fillId="3" borderId="0" xfId="0" applyNumberFormat="1" applyFont="1" applyFill="1"/>
    <xf numFmtId="0" fontId="4" fillId="2" borderId="14" xfId="0" applyFont="1" applyFill="1" applyBorder="1"/>
    <xf numFmtId="0" fontId="3" fillId="4" borderId="12" xfId="0" applyFont="1" applyFill="1" applyBorder="1"/>
    <xf numFmtId="0" fontId="7" fillId="0" borderId="0" xfId="0" applyFont="1" applyAlignment="1">
      <alignment vertical="center" wrapText="1"/>
    </xf>
    <xf numFmtId="0" fontId="3" fillId="4" borderId="13" xfId="0" applyFont="1" applyFill="1" applyBorder="1" applyAlignment="1">
      <alignment horizontal="center"/>
    </xf>
    <xf numFmtId="172" fontId="3" fillId="4" borderId="12" xfId="2" applyNumberFormat="1" applyFont="1" applyFill="1" applyBorder="1"/>
    <xf numFmtId="6" fontId="4" fillId="3" borderId="11" xfId="0" applyNumberFormat="1" applyFont="1" applyFill="1" applyBorder="1"/>
    <xf numFmtId="6" fontId="4" fillId="3" borderId="14" xfId="0" applyNumberFormat="1" applyFont="1" applyFill="1" applyBorder="1"/>
    <xf numFmtId="6" fontId="4" fillId="3" borderId="12" xfId="0" applyNumberFormat="1" applyFont="1" applyFill="1" applyBorder="1"/>
    <xf numFmtId="0" fontId="3" fillId="4" borderId="13" xfId="0" applyFont="1" applyFill="1" applyBorder="1"/>
    <xf numFmtId="0" fontId="4" fillId="3" borderId="11" xfId="0" applyFont="1" applyFill="1" applyBorder="1"/>
    <xf numFmtId="0" fontId="4" fillId="3" borderId="14" xfId="0" applyFont="1" applyFill="1" applyBorder="1"/>
    <xf numFmtId="0" fontId="4" fillId="3" borderId="12" xfId="0" applyFont="1" applyFill="1" applyBorder="1"/>
    <xf numFmtId="0" fontId="4" fillId="0" borderId="0" xfId="0" applyFont="1" applyAlignment="1">
      <alignment vertical="center" wrapText="1"/>
    </xf>
    <xf numFmtId="6" fontId="4" fillId="6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vertical="center"/>
    </xf>
    <xf numFmtId="0" fontId="8" fillId="3" borderId="17" xfId="0" applyFont="1" applyFill="1" applyBorder="1"/>
    <xf numFmtId="6" fontId="4" fillId="0" borderId="0" xfId="0" applyNumberFormat="1" applyFont="1" applyAlignment="1">
      <alignment horizontal="right" vertical="center" wrapText="1"/>
    </xf>
    <xf numFmtId="9" fontId="4" fillId="3" borderId="0" xfId="1" applyFont="1" applyFill="1"/>
    <xf numFmtId="172" fontId="4" fillId="3" borderId="0" xfId="2" applyNumberFormat="1" applyFont="1" applyFill="1" applyBorder="1"/>
    <xf numFmtId="0" fontId="4" fillId="0" borderId="0" xfId="0" applyFont="1" applyAlignment="1">
      <alignment wrapText="1"/>
    </xf>
    <xf numFmtId="0" fontId="8" fillId="3" borderId="15" xfId="0" applyFont="1" applyFill="1" applyBorder="1"/>
    <xf numFmtId="0" fontId="8" fillId="3" borderId="19" xfId="0" applyFont="1" applyFill="1" applyBorder="1"/>
    <xf numFmtId="172" fontId="8" fillId="3" borderId="16" xfId="0" applyNumberFormat="1" applyFont="1" applyFill="1" applyBorder="1"/>
    <xf numFmtId="0" fontId="8" fillId="3" borderId="20" xfId="0" applyFont="1" applyFill="1" applyBorder="1"/>
    <xf numFmtId="172" fontId="9" fillId="3" borderId="18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166" fontId="4" fillId="0" borderId="0" xfId="0" applyNumberFormat="1" applyFont="1"/>
    <xf numFmtId="0" fontId="3" fillId="4" borderId="9" xfId="0" applyFont="1" applyFill="1" applyBorder="1"/>
    <xf numFmtId="0" fontId="3" fillId="4" borderId="10" xfId="0" applyFont="1" applyFill="1" applyBorder="1"/>
    <xf numFmtId="172" fontId="3" fillId="4" borderId="8" xfId="2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3" fontId="4" fillId="2" borderId="0" xfId="0" applyNumberFormat="1" applyFont="1" applyFill="1"/>
    <xf numFmtId="9" fontId="4" fillId="0" borderId="0" xfId="0" applyNumberFormat="1" applyFont="1"/>
    <xf numFmtId="9" fontId="4" fillId="2" borderId="5" xfId="1" applyFont="1" applyFill="1" applyBorder="1"/>
    <xf numFmtId="165" fontId="4" fillId="2" borderId="0" xfId="0" applyNumberFormat="1" applyFont="1" applyFill="1"/>
    <xf numFmtId="9" fontId="4" fillId="2" borderId="0" xfId="1" applyFont="1" applyFill="1" applyBorder="1"/>
    <xf numFmtId="9" fontId="4" fillId="2" borderId="7" xfId="1" applyFont="1" applyFill="1" applyBorder="1"/>
    <xf numFmtId="9" fontId="4" fillId="2" borderId="8" xfId="1" applyFont="1" applyFill="1" applyBorder="1"/>
    <xf numFmtId="1" fontId="3" fillId="4" borderId="5" xfId="0" applyNumberFormat="1" applyFont="1" applyFill="1" applyBorder="1"/>
    <xf numFmtId="0" fontId="3" fillId="4" borderId="4" xfId="0" applyFont="1" applyFill="1" applyBorder="1"/>
    <xf numFmtId="165" fontId="3" fillId="4" borderId="0" xfId="0" applyNumberFormat="1" applyFont="1" applyFill="1"/>
    <xf numFmtId="166" fontId="3" fillId="4" borderId="5" xfId="0" applyNumberFormat="1" applyFont="1" applyFill="1" applyBorder="1"/>
    <xf numFmtId="166" fontId="4" fillId="3" borderId="3" xfId="0" applyNumberFormat="1" applyFont="1" applyFill="1" applyBorder="1"/>
    <xf numFmtId="0" fontId="4" fillId="4" borderId="4" xfId="0" applyFont="1" applyFill="1" applyBorder="1"/>
    <xf numFmtId="0" fontId="3" fillId="4" borderId="14" xfId="0" applyFont="1" applyFill="1" applyBorder="1"/>
    <xf numFmtId="167" fontId="3" fillId="4" borderId="0" xfId="0" applyNumberFormat="1" applyFont="1" applyFill="1"/>
    <xf numFmtId="166" fontId="3" fillId="4" borderId="0" xfId="0" applyNumberFormat="1" applyFont="1" applyFill="1"/>
    <xf numFmtId="0" fontId="3" fillId="5" borderId="21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9" fontId="4" fillId="5" borderId="22" xfId="1" applyFont="1" applyFill="1" applyBorder="1" applyAlignment="1">
      <alignment vertical="center"/>
    </xf>
    <xf numFmtId="9" fontId="4" fillId="5" borderId="23" xfId="1" applyFont="1" applyFill="1" applyBorder="1" applyAlignment="1">
      <alignment vertical="center"/>
    </xf>
    <xf numFmtId="9" fontId="4" fillId="5" borderId="24" xfId="1" applyFont="1" applyFill="1" applyBorder="1" applyAlignment="1">
      <alignment vertical="center"/>
    </xf>
    <xf numFmtId="9" fontId="4" fillId="5" borderId="25" xfId="1" applyFont="1" applyFill="1" applyBorder="1" applyAlignment="1">
      <alignment vertical="center"/>
    </xf>
    <xf numFmtId="167" fontId="4" fillId="2" borderId="0" xfId="0" applyNumberFormat="1" applyFont="1" applyFill="1"/>
    <xf numFmtId="174" fontId="4" fillId="3" borderId="1" xfId="0" applyNumberFormat="1" applyFont="1" applyFill="1" applyBorder="1"/>
    <xf numFmtId="174" fontId="4" fillId="3" borderId="4" xfId="0" applyNumberFormat="1" applyFont="1" applyFill="1" applyBorder="1"/>
    <xf numFmtId="174" fontId="3" fillId="4" borderId="4" xfId="0" applyNumberFormat="1" applyFont="1" applyFill="1" applyBorder="1"/>
    <xf numFmtId="0" fontId="3" fillId="0" borderId="0" xfId="0" applyFont="1" applyAlignment="1">
      <alignment horizontal="center"/>
    </xf>
    <xf numFmtId="0" fontId="10" fillId="7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165" fontId="11" fillId="8" borderId="13" xfId="0" applyNumberFormat="1" applyFont="1" applyFill="1" applyBorder="1" applyAlignment="1">
      <alignment horizontal="right" vertical="center"/>
    </xf>
    <xf numFmtId="167" fontId="11" fillId="8" borderId="13" xfId="0" applyNumberFormat="1" applyFont="1" applyFill="1" applyBorder="1" applyAlignment="1">
      <alignment horizontal="right" vertical="center"/>
    </xf>
    <xf numFmtId="174" fontId="11" fillId="8" borderId="13" xfId="0" applyNumberFormat="1" applyFont="1" applyFill="1" applyBorder="1" applyAlignment="1">
      <alignment vertical="center"/>
    </xf>
    <xf numFmtId="175" fontId="11" fillId="8" borderId="13" xfId="0" applyNumberFormat="1" applyFont="1" applyFill="1" applyBorder="1" applyAlignment="1">
      <alignment horizontal="right" vertical="center"/>
    </xf>
    <xf numFmtId="173" fontId="4" fillId="3" borderId="4" xfId="0" applyNumberFormat="1" applyFont="1" applyFill="1" applyBorder="1"/>
    <xf numFmtId="0" fontId="11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6" fontId="4" fillId="3" borderId="0" xfId="0" applyNumberFormat="1" applyFont="1" applyFill="1" applyAlignment="1">
      <alignment horizontal="center"/>
    </xf>
    <xf numFmtId="166" fontId="4" fillId="3" borderId="5" xfId="0" applyNumberFormat="1" applyFont="1" applyFill="1" applyBorder="1" applyAlignment="1">
      <alignment horizontal="center"/>
    </xf>
    <xf numFmtId="166" fontId="4" fillId="3" borderId="7" xfId="0" applyNumberFormat="1" applyFont="1" applyFill="1" applyBorder="1" applyAlignment="1">
      <alignment horizontal="center"/>
    </xf>
    <xf numFmtId="166" fontId="4" fillId="3" borderId="8" xfId="0" applyNumberFormat="1" applyFont="1" applyFill="1" applyBorder="1" applyAlignment="1">
      <alignment horizontal="center"/>
    </xf>
    <xf numFmtId="167" fontId="4" fillId="3" borderId="0" xfId="0" applyNumberFormat="1" applyFont="1" applyFill="1" applyAlignment="1">
      <alignment horizontal="center"/>
    </xf>
    <xf numFmtId="167" fontId="4" fillId="3" borderId="5" xfId="0" applyNumberFormat="1" applyFont="1" applyFill="1" applyBorder="1" applyAlignment="1">
      <alignment horizontal="center"/>
    </xf>
    <xf numFmtId="0" fontId="4" fillId="0" borderId="0" xfId="0" applyFont="1"/>
    <xf numFmtId="0" fontId="10" fillId="7" borderId="13" xfId="0" applyFont="1" applyFill="1" applyBorder="1" applyAlignment="1">
      <alignment horizontal="center" vertical="center"/>
    </xf>
    <xf numFmtId="166" fontId="11" fillId="8" borderId="11" xfId="0" applyNumberFormat="1" applyFont="1" applyFill="1" applyBorder="1" applyAlignment="1">
      <alignment horizontal="right" vertical="center"/>
    </xf>
    <xf numFmtId="166" fontId="11" fillId="8" borderId="14" xfId="0" applyNumberFormat="1" applyFont="1" applyFill="1" applyBorder="1" applyAlignment="1">
      <alignment horizontal="right" vertical="center"/>
    </xf>
    <xf numFmtId="166" fontId="11" fillId="8" borderId="12" xfId="0" applyNumberFormat="1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6349</xdr:colOff>
      <xdr:row>46</xdr:row>
      <xdr:rowOff>28575</xdr:rowOff>
    </xdr:from>
    <xdr:to>
      <xdr:col>8</xdr:col>
      <xdr:colOff>620519</xdr:colOff>
      <xdr:row>57</xdr:row>
      <xdr:rowOff>255270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9E547-F30C-7944-884E-248AAFBBA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49" y="8124825"/>
          <a:ext cx="8331325" cy="31623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58</xdr:row>
      <xdr:rowOff>200025</xdr:rowOff>
    </xdr:from>
    <xdr:to>
      <xdr:col>13</xdr:col>
      <xdr:colOff>389148</xdr:colOff>
      <xdr:row>66</xdr:row>
      <xdr:rowOff>64770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F4F776-A874-6D09-39D5-855CE455E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4" y="12468225"/>
          <a:ext cx="12858644" cy="2000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wan Rahabok" id="{272EB144-3374-43AA-AD35-D10DF0187BDC}" userId="S::irahabok@vmware.com::156f3981-69fc-4d83-acd3-61e6ecbdd23f" providerId="AD"/>
  <person displayName="Iwan Rahabok" id="{A87F54A4-C6A5-4363-A622-20876405F04C}" userId="S::iwan.rahabok@broadcom.com::80bc9418-7c5b-46e3-8452-ab09f9a5c1f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6-02-21T14:12:08.99" personId="{A87F54A4-C6A5-4363-A622-20876405F04C}" id="{6A9669AD-9E3B-4598-AC38-C3F679B3DD9F}">
    <text>Not visible as it’s based on All Core Turbo</text>
  </threadedComment>
  <threadedComment ref="B24" dT="2025-05-28T15:07:43.85" personId="{272EB144-3374-43AA-AD35-D10DF0187BDC}" id="{E6F71ED6-B2E5-415B-B6BC-D4788EF93012}">
    <text>If you set CPU at 100%, there is a chance you cannot provision despite having enough capacity. The reason is VM provisioning does not consider HT and All Cores Turbo</text>
  </threadedComment>
  <threadedComment ref="B25" dT="2026-02-21T14:28:59.64" personId="{A87F54A4-C6A5-4363-A622-20876405F04C}" id="{B638962A-7363-49CB-9985-A41790963C06}">
    <text>While a few VM may spike to 100%, they entire cluster load tend to be much smoother</text>
  </threadedComment>
  <threadedComment ref="B28" dT="2026-02-21T23:32:12.15" personId="{A87F54A4-C6A5-4363-A622-20876405F04C}" id="{79498161-FF34-48A2-8599-CE0073CA4D40}">
    <text>Due to its “sticky” nature, memory consumed tends to go high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D31C-D9EA-4B77-904B-4779CE66833E}">
  <dimension ref="A2:U44"/>
  <sheetViews>
    <sheetView showGridLines="0" topLeftCell="A19" workbookViewId="0">
      <selection activeCell="N30" sqref="N30"/>
    </sheetView>
  </sheetViews>
  <sheetFormatPr defaultColWidth="8.7265625" defaultRowHeight="18.5" x14ac:dyDescent="0.45"/>
  <cols>
    <col min="1" max="1" width="4.81640625" style="4" customWidth="1"/>
    <col min="2" max="2" width="4.7265625" style="3" customWidth="1"/>
    <col min="3" max="3" width="11.1796875" style="3" customWidth="1"/>
    <col min="4" max="4" width="14.90625" style="3" customWidth="1"/>
    <col min="5" max="8" width="13.6328125" style="3" customWidth="1"/>
    <col min="9" max="16" width="8.7265625" style="3"/>
    <col min="17" max="21" width="17.26953125" style="3" customWidth="1"/>
    <col min="22" max="16384" width="8.7265625" style="3"/>
  </cols>
  <sheetData>
    <row r="2" spans="1:4" x14ac:dyDescent="0.45">
      <c r="A2" s="1" t="s">
        <v>53</v>
      </c>
    </row>
    <row r="3" spans="1:4" x14ac:dyDescent="0.45">
      <c r="B3" s="3" t="s">
        <v>54</v>
      </c>
    </row>
    <row r="4" spans="1:4" x14ac:dyDescent="0.45">
      <c r="B4" s="3" t="s">
        <v>55</v>
      </c>
    </row>
    <row r="6" spans="1:4" x14ac:dyDescent="0.45">
      <c r="A6" s="1" t="s">
        <v>65</v>
      </c>
    </row>
    <row r="7" spans="1:4" x14ac:dyDescent="0.45">
      <c r="A7" s="1"/>
      <c r="B7" s="3" t="s">
        <v>171</v>
      </c>
    </row>
    <row r="8" spans="1:4" x14ac:dyDescent="0.45">
      <c r="A8" s="1"/>
      <c r="C8" s="3" t="s">
        <v>172</v>
      </c>
      <c r="D8" s="3" t="s">
        <v>66</v>
      </c>
    </row>
    <row r="9" spans="1:4" x14ac:dyDescent="0.45">
      <c r="A9" s="1"/>
      <c r="C9" s="3" t="s">
        <v>159</v>
      </c>
      <c r="D9" s="3" t="s">
        <v>173</v>
      </c>
    </row>
    <row r="10" spans="1:4" x14ac:dyDescent="0.45">
      <c r="A10" s="1"/>
      <c r="C10" s="3" t="s">
        <v>150</v>
      </c>
    </row>
    <row r="12" spans="1:4" x14ac:dyDescent="0.45">
      <c r="A12" s="1" t="s">
        <v>14</v>
      </c>
    </row>
    <row r="13" spans="1:4" x14ac:dyDescent="0.45">
      <c r="B13" s="3" t="s">
        <v>15</v>
      </c>
    </row>
    <row r="14" spans="1:4" x14ac:dyDescent="0.45">
      <c r="B14" s="3" t="s">
        <v>16</v>
      </c>
    </row>
    <row r="15" spans="1:4" x14ac:dyDescent="0.45">
      <c r="B15" s="3" t="s">
        <v>17</v>
      </c>
    </row>
    <row r="16" spans="1:4" x14ac:dyDescent="0.45">
      <c r="C16" s="3" t="s">
        <v>18</v>
      </c>
    </row>
    <row r="17" spans="1:9" x14ac:dyDescent="0.45">
      <c r="C17" s="3" t="s">
        <v>37</v>
      </c>
    </row>
    <row r="19" spans="1:9" x14ac:dyDescent="0.45">
      <c r="A19" s="1" t="s">
        <v>154</v>
      </c>
    </row>
    <row r="20" spans="1:9" x14ac:dyDescent="0.45">
      <c r="B20" s="3" t="s">
        <v>155</v>
      </c>
    </row>
    <row r="21" spans="1:9" s="55" customFormat="1" ht="24.5" customHeight="1" x14ac:dyDescent="0.35">
      <c r="A21" s="101"/>
      <c r="D21" s="123" t="s">
        <v>156</v>
      </c>
      <c r="E21" s="123" t="s">
        <v>157</v>
      </c>
      <c r="F21" s="123"/>
      <c r="G21" s="127" t="s">
        <v>158</v>
      </c>
      <c r="H21" s="128"/>
    </row>
    <row r="22" spans="1:9" s="55" customFormat="1" ht="24.5" customHeight="1" x14ac:dyDescent="0.35">
      <c r="A22" s="101"/>
      <c r="D22" s="123"/>
      <c r="E22" s="100" t="s">
        <v>11</v>
      </c>
      <c r="F22" s="100" t="s">
        <v>13</v>
      </c>
      <c r="G22" s="100" t="s">
        <v>11</v>
      </c>
      <c r="H22" s="100" t="s">
        <v>13</v>
      </c>
    </row>
    <row r="23" spans="1:9" s="55" customFormat="1" ht="24.5" customHeight="1" x14ac:dyDescent="0.35">
      <c r="A23" s="101"/>
      <c r="D23" s="102" t="s">
        <v>159</v>
      </c>
      <c r="E23" s="103">
        <f>ESXi.CPU.Usable.Capacity.Allocation</f>
        <v>208.8</v>
      </c>
      <c r="F23" s="124">
        <f>'Capacity Provider'!D53</f>
        <v>1017.6</v>
      </c>
      <c r="G23" s="106">
        <f>E23/Silver.VM.vCPU</f>
        <v>26.1</v>
      </c>
      <c r="H23" s="106">
        <f>F23/Silver.VM.RAM</f>
        <v>31.8</v>
      </c>
    </row>
    <row r="24" spans="1:9" s="55" customFormat="1" ht="24.5" customHeight="1" x14ac:dyDescent="0.35">
      <c r="A24" s="101"/>
      <c r="D24" s="102" t="s">
        <v>150</v>
      </c>
      <c r="E24" s="104">
        <f>ESXi.CPU.Usable.Capacity.Reservation</f>
        <v>152</v>
      </c>
      <c r="F24" s="125"/>
      <c r="G24" s="106">
        <f>E24/'Capacity Provider'!D3/(Silver.VM.vCPU*'Capacity Consumer'!D24)</f>
        <v>25.333333333333332</v>
      </c>
      <c r="H24" s="106">
        <f>F23/(Silver.VM.RAM*'Capacity Consumer'!D27)</f>
        <v>63.6</v>
      </c>
    </row>
    <row r="25" spans="1:9" s="55" customFormat="1" ht="24.5" customHeight="1" x14ac:dyDescent="0.35">
      <c r="A25" s="101"/>
      <c r="D25" s="102" t="s">
        <v>160</v>
      </c>
      <c r="E25" s="105">
        <f>ESXi.CPU.Usable.Capacity.Utilization</f>
        <v>104.4</v>
      </c>
      <c r="F25" s="126"/>
      <c r="G25" s="106">
        <f>E25/(Silver.VM.vCPU*'Capacity Consumer'!D25)</f>
        <v>26.1</v>
      </c>
      <c r="H25" s="106">
        <f>F23/(Silver.VM.RAM*'Capacity Consumer'!D28)</f>
        <v>37.411764705882355</v>
      </c>
    </row>
    <row r="26" spans="1:9" s="55" customFormat="1" ht="18.5" customHeight="1" x14ac:dyDescent="0.35">
      <c r="A26" s="101"/>
      <c r="B26" s="55" t="s">
        <v>174</v>
      </c>
      <c r="D26" s="108"/>
      <c r="E26" s="108"/>
      <c r="F26" s="108"/>
      <c r="G26" s="108"/>
      <c r="H26" s="108"/>
      <c r="I26" s="108"/>
    </row>
    <row r="27" spans="1:9" s="55" customFormat="1" ht="18.5" customHeight="1" x14ac:dyDescent="0.35">
      <c r="A27" s="101"/>
      <c r="B27" s="55" t="s">
        <v>175</v>
      </c>
      <c r="D27" s="108"/>
      <c r="E27" s="108"/>
      <c r="F27" s="108"/>
      <c r="G27" s="108"/>
      <c r="H27" s="108"/>
      <c r="I27" s="108"/>
    </row>
    <row r="29" spans="1:9" x14ac:dyDescent="0.45">
      <c r="A29" s="1" t="s">
        <v>43</v>
      </c>
    </row>
    <row r="30" spans="1:9" x14ac:dyDescent="0.45">
      <c r="B30" s="2" t="s">
        <v>44</v>
      </c>
      <c r="D30" s="3" t="s">
        <v>46</v>
      </c>
    </row>
    <row r="31" spans="1:9" x14ac:dyDescent="0.45">
      <c r="B31" s="2" t="s">
        <v>45</v>
      </c>
      <c r="D31" s="3" t="s">
        <v>50</v>
      </c>
    </row>
    <row r="32" spans="1:9" x14ac:dyDescent="0.45">
      <c r="D32" s="3" t="s">
        <v>51</v>
      </c>
    </row>
    <row r="33" spans="1:21" x14ac:dyDescent="0.45">
      <c r="D33" s="3" t="s">
        <v>52</v>
      </c>
    </row>
    <row r="35" spans="1:21" x14ac:dyDescent="0.45">
      <c r="A35" s="1" t="s">
        <v>42</v>
      </c>
    </row>
    <row r="36" spans="1:21" x14ac:dyDescent="0.45">
      <c r="B36" s="6"/>
      <c r="C36" s="3" t="s">
        <v>41</v>
      </c>
    </row>
    <row r="37" spans="1:21" x14ac:dyDescent="0.45">
      <c r="B37" s="5"/>
      <c r="C37" s="3" t="s">
        <v>40</v>
      </c>
    </row>
    <row r="38" spans="1:21" x14ac:dyDescent="0.45">
      <c r="Q38" s="122"/>
      <c r="R38" s="122"/>
      <c r="S38" s="122"/>
      <c r="T38" s="122"/>
      <c r="U38" s="122"/>
    </row>
    <row r="39" spans="1:21" x14ac:dyDescent="0.45">
      <c r="Q39" s="122"/>
      <c r="T39" s="122"/>
      <c r="U39" s="122"/>
    </row>
    <row r="40" spans="1:21" ht="14.5" x14ac:dyDescent="0.35">
      <c r="A40" s="3"/>
    </row>
    <row r="41" spans="1:21" ht="14.5" x14ac:dyDescent="0.35">
      <c r="A41" s="3"/>
    </row>
    <row r="42" spans="1:21" ht="14.5" x14ac:dyDescent="0.35">
      <c r="A42" s="3"/>
    </row>
    <row r="43" spans="1:21" ht="14.5" x14ac:dyDescent="0.35">
      <c r="A43" s="3"/>
    </row>
    <row r="44" spans="1:21" ht="14.5" x14ac:dyDescent="0.35">
      <c r="A44" s="3"/>
    </row>
  </sheetData>
  <mergeCells count="7">
    <mergeCell ref="R38:S38"/>
    <mergeCell ref="T38:U39"/>
    <mergeCell ref="Q38:Q39"/>
    <mergeCell ref="D21:D22"/>
    <mergeCell ref="E21:F21"/>
    <mergeCell ref="F23:F25"/>
    <mergeCell ref="G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62C2-10A5-4861-B311-34CC762F9488}">
  <dimension ref="A1:F54"/>
  <sheetViews>
    <sheetView showGridLines="0" zoomScale="120" zoomScaleNormal="120" workbookViewId="0">
      <selection activeCell="E23" sqref="E23"/>
    </sheetView>
  </sheetViews>
  <sheetFormatPr defaultColWidth="8.7265625" defaultRowHeight="18.5" x14ac:dyDescent="0.45"/>
  <cols>
    <col min="1" max="1" width="4.81640625" style="4" customWidth="1"/>
    <col min="2" max="2" width="4.81640625" style="3" customWidth="1"/>
    <col min="3" max="3" width="32.7265625" style="3" customWidth="1"/>
    <col min="4" max="6" width="10.453125" style="3" customWidth="1"/>
    <col min="7" max="7" width="71.26953125" style="3" customWidth="1"/>
    <col min="8" max="9" width="10.453125" style="3" customWidth="1"/>
    <col min="10" max="16384" width="8.7265625" style="3"/>
  </cols>
  <sheetData>
    <row r="1" spans="1:5" x14ac:dyDescent="0.45">
      <c r="A1" s="1" t="s">
        <v>8</v>
      </c>
      <c r="B1" s="2"/>
    </row>
    <row r="2" spans="1:5" x14ac:dyDescent="0.45">
      <c r="A2" s="1"/>
      <c r="B2" s="3" t="s">
        <v>125</v>
      </c>
    </row>
    <row r="3" spans="1:5" x14ac:dyDescent="0.45">
      <c r="B3" s="3" t="s">
        <v>0</v>
      </c>
      <c r="D3" s="29">
        <v>2.5</v>
      </c>
      <c r="E3" s="3" t="s">
        <v>58</v>
      </c>
    </row>
    <row r="4" spans="1:5" x14ac:dyDescent="0.45">
      <c r="B4" s="3" t="s">
        <v>1</v>
      </c>
      <c r="D4" s="5">
        <v>64</v>
      </c>
      <c r="E4" s="3" t="s">
        <v>6</v>
      </c>
    </row>
    <row r="5" spans="1:5" x14ac:dyDescent="0.45">
      <c r="B5" s="3" t="s">
        <v>9</v>
      </c>
      <c r="D5" s="6">
        <f>D4*2</f>
        <v>128</v>
      </c>
      <c r="E5" s="3" t="s">
        <v>10</v>
      </c>
    </row>
    <row r="6" spans="1:5" x14ac:dyDescent="0.45">
      <c r="B6" s="3" t="s">
        <v>7</v>
      </c>
      <c r="D6" s="73">
        <v>1.25</v>
      </c>
      <c r="E6" s="3" t="s">
        <v>134</v>
      </c>
    </row>
    <row r="7" spans="1:5" x14ac:dyDescent="0.45">
      <c r="E7" s="3" t="s">
        <v>135</v>
      </c>
    </row>
    <row r="8" spans="1:5" x14ac:dyDescent="0.45">
      <c r="B8" s="3" t="s">
        <v>2</v>
      </c>
      <c r="D8" s="30">
        <v>768</v>
      </c>
      <c r="E8" s="3" t="s">
        <v>3</v>
      </c>
    </row>
    <row r="9" spans="1:5" x14ac:dyDescent="0.45">
      <c r="B9" s="3" t="s">
        <v>4</v>
      </c>
      <c r="D9" s="16">
        <f>D8/2</f>
        <v>384</v>
      </c>
      <c r="E9" s="3" t="s">
        <v>129</v>
      </c>
    </row>
    <row r="11" spans="1:5" x14ac:dyDescent="0.45">
      <c r="A11" s="1" t="s">
        <v>12</v>
      </c>
    </row>
    <row r="12" spans="1:5" x14ac:dyDescent="0.45">
      <c r="A12" s="1"/>
      <c r="B12" s="3" t="s">
        <v>138</v>
      </c>
    </row>
    <row r="13" spans="1:5" x14ac:dyDescent="0.45">
      <c r="A13" s="1"/>
      <c r="B13" s="2" t="s">
        <v>106</v>
      </c>
    </row>
    <row r="14" spans="1:5" x14ac:dyDescent="0.45">
      <c r="A14" s="1"/>
      <c r="C14" s="3" t="s">
        <v>126</v>
      </c>
      <c r="D14" s="6">
        <v>10</v>
      </c>
      <c r="E14" s="3" t="s">
        <v>127</v>
      </c>
    </row>
    <row r="15" spans="1:5" x14ac:dyDescent="0.45">
      <c r="A15" s="1"/>
      <c r="C15" s="3" t="s">
        <v>106</v>
      </c>
      <c r="D15" s="58">
        <f>1/D14</f>
        <v>0.1</v>
      </c>
      <c r="E15" s="3" t="s">
        <v>128</v>
      </c>
    </row>
    <row r="16" spans="1:5" x14ac:dyDescent="0.45">
      <c r="A16" s="1"/>
      <c r="B16" s="2" t="s">
        <v>161</v>
      </c>
    </row>
    <row r="17" spans="2:5" x14ac:dyDescent="0.45">
      <c r="C17" s="3" t="s">
        <v>107</v>
      </c>
      <c r="D17" s="6">
        <v>12</v>
      </c>
      <c r="E17" s="3" t="s">
        <v>61</v>
      </c>
    </row>
    <row r="18" spans="2:5" x14ac:dyDescent="0.45">
      <c r="E18" s="3" t="s">
        <v>139</v>
      </c>
    </row>
    <row r="19" spans="2:5" x14ac:dyDescent="0.45">
      <c r="C19" s="3" t="s">
        <v>12</v>
      </c>
      <c r="D19" s="37">
        <f>(D5-Hypervisor.Overhead.CPU)*(1-D15)</f>
        <v>104.4</v>
      </c>
      <c r="E19" s="3" t="s">
        <v>39</v>
      </c>
    </row>
    <row r="20" spans="2:5" x14ac:dyDescent="0.45">
      <c r="B20" s="2" t="s">
        <v>164</v>
      </c>
    </row>
    <row r="21" spans="2:5" x14ac:dyDescent="0.45">
      <c r="B21" s="2"/>
      <c r="C21" s="3" t="s">
        <v>67</v>
      </c>
    </row>
    <row r="22" spans="2:5" x14ac:dyDescent="0.45">
      <c r="C22" s="3" t="s">
        <v>163</v>
      </c>
      <c r="D22" s="5">
        <v>2</v>
      </c>
      <c r="E22" s="3" t="s">
        <v>162</v>
      </c>
    </row>
    <row r="23" spans="2:5" x14ac:dyDescent="0.45">
      <c r="E23" s="3" t="s">
        <v>167</v>
      </c>
    </row>
    <row r="24" spans="2:5" x14ac:dyDescent="0.45">
      <c r="C24" s="3" t="s">
        <v>12</v>
      </c>
      <c r="D24" s="37">
        <f>ESXi.CPU.Usable.Capacity.Utilization*D22</f>
        <v>208.8</v>
      </c>
      <c r="E24" s="3" t="s">
        <v>101</v>
      </c>
    </row>
    <row r="25" spans="2:5" x14ac:dyDescent="0.45">
      <c r="B25" s="2" t="s">
        <v>13</v>
      </c>
    </row>
    <row r="26" spans="2:5" x14ac:dyDescent="0.45">
      <c r="B26" s="2"/>
      <c r="C26" s="3" t="s">
        <v>170</v>
      </c>
    </row>
    <row r="27" spans="2:5" x14ac:dyDescent="0.45">
      <c r="C27" s="3" t="s">
        <v>107</v>
      </c>
      <c r="D27" s="16">
        <v>64</v>
      </c>
      <c r="E27" s="3" t="s">
        <v>140</v>
      </c>
    </row>
    <row r="28" spans="2:5" x14ac:dyDescent="0.45">
      <c r="C28" s="3" t="s">
        <v>12</v>
      </c>
      <c r="D28" s="16">
        <f>(D8-Hypervisor.Overhead.Memory)*(1-D15)</f>
        <v>633.6</v>
      </c>
      <c r="E28" s="3" t="s">
        <v>59</v>
      </c>
    </row>
    <row r="30" spans="2:5" x14ac:dyDescent="0.45">
      <c r="B30" s="2" t="s">
        <v>68</v>
      </c>
      <c r="D30" s="32">
        <f>D28/ESXi.CPU.Usable.Capacity.Utilization</f>
        <v>6.068965517241379</v>
      </c>
      <c r="E30" s="3" t="s">
        <v>69</v>
      </c>
    </row>
    <row r="31" spans="2:5" x14ac:dyDescent="0.45">
      <c r="B31" s="2"/>
      <c r="C31" s="3" t="s">
        <v>70</v>
      </c>
    </row>
    <row r="33" spans="1:6" x14ac:dyDescent="0.45">
      <c r="A33" s="1" t="s">
        <v>149</v>
      </c>
    </row>
    <row r="34" spans="1:6" x14ac:dyDescent="0.45">
      <c r="A34" s="1"/>
      <c r="B34" s="3" t="s">
        <v>141</v>
      </c>
    </row>
    <row r="35" spans="1:6" x14ac:dyDescent="0.45">
      <c r="A35" s="1"/>
      <c r="B35" s="3" t="s">
        <v>165</v>
      </c>
    </row>
    <row r="36" spans="1:6" x14ac:dyDescent="0.45">
      <c r="A36" s="1"/>
      <c r="B36" s="2" t="s">
        <v>151</v>
      </c>
    </row>
    <row r="37" spans="1:6" x14ac:dyDescent="0.45">
      <c r="C37" s="3" t="s">
        <v>62</v>
      </c>
      <c r="D37" s="27">
        <f>D3*D4*1.25*D6</f>
        <v>250</v>
      </c>
      <c r="E37" s="3" t="s">
        <v>57</v>
      </c>
    </row>
    <row r="38" spans="1:6" x14ac:dyDescent="0.45">
      <c r="E38" s="3" t="s">
        <v>142</v>
      </c>
    </row>
    <row r="39" spans="1:6" x14ac:dyDescent="0.45">
      <c r="C39" s="3" t="s">
        <v>107</v>
      </c>
      <c r="D39" s="27">
        <f>D3*Hypervisor.Overhead.CPU</f>
        <v>30</v>
      </c>
      <c r="E39" s="3" t="s">
        <v>64</v>
      </c>
    </row>
    <row r="40" spans="1:6" x14ac:dyDescent="0.45">
      <c r="C40" s="3" t="s">
        <v>60</v>
      </c>
      <c r="D40" s="31">
        <f>D39/D37</f>
        <v>0.12</v>
      </c>
      <c r="E40" s="3" t="s">
        <v>71</v>
      </c>
    </row>
    <row r="41" spans="1:6" x14ac:dyDescent="0.45">
      <c r="C41" s="3" t="s">
        <v>63</v>
      </c>
      <c r="D41" s="27">
        <f>D37-D39</f>
        <v>220</v>
      </c>
      <c r="E41" s="3" t="s">
        <v>143</v>
      </c>
    </row>
    <row r="42" spans="1:6" x14ac:dyDescent="0.45">
      <c r="A42" s="1"/>
      <c r="B42" s="2" t="s">
        <v>150</v>
      </c>
    </row>
    <row r="43" spans="1:6" x14ac:dyDescent="0.45">
      <c r="A43" s="1"/>
      <c r="B43" s="2"/>
      <c r="C43" s="3" t="s">
        <v>152</v>
      </c>
      <c r="D43" s="95">
        <v>8</v>
      </c>
      <c r="E43" s="3" t="s">
        <v>153</v>
      </c>
    </row>
    <row r="44" spans="1:6" x14ac:dyDescent="0.45">
      <c r="C44" s="3" t="s">
        <v>73</v>
      </c>
      <c r="D44" s="27">
        <f>D3*D4 - D43</f>
        <v>152</v>
      </c>
      <c r="E44" s="3" t="s">
        <v>72</v>
      </c>
    </row>
    <row r="46" spans="1:6" x14ac:dyDescent="0.45">
      <c r="A46" s="1" t="s">
        <v>14</v>
      </c>
    </row>
    <row r="47" spans="1:6" x14ac:dyDescent="0.45">
      <c r="B47" s="3" t="s">
        <v>166</v>
      </c>
    </row>
    <row r="48" spans="1:6" x14ac:dyDescent="0.45">
      <c r="B48" s="10"/>
      <c r="C48" s="11"/>
      <c r="D48" s="12" t="s">
        <v>19</v>
      </c>
      <c r="E48" s="12" t="s">
        <v>20</v>
      </c>
      <c r="F48" s="13" t="s">
        <v>21</v>
      </c>
    </row>
    <row r="49" spans="2:6" x14ac:dyDescent="0.45">
      <c r="B49" s="7" t="s">
        <v>22</v>
      </c>
      <c r="D49" s="20">
        <v>0.5</v>
      </c>
      <c r="E49" s="20">
        <v>1</v>
      </c>
      <c r="F49" s="21">
        <v>1.5</v>
      </c>
    </row>
    <row r="50" spans="2:6" x14ac:dyDescent="0.45">
      <c r="B50" s="7" t="s">
        <v>89</v>
      </c>
      <c r="D50" s="15">
        <f>E50*D49</f>
        <v>104.4</v>
      </c>
      <c r="E50" s="15">
        <f>E49*ESXi.CPU.Usable.Capacity.Allocation</f>
        <v>208.8</v>
      </c>
      <c r="F50" s="14">
        <f>E50*F49</f>
        <v>313.20000000000005</v>
      </c>
    </row>
    <row r="51" spans="2:6" x14ac:dyDescent="0.45">
      <c r="B51" s="7" t="s">
        <v>117</v>
      </c>
      <c r="D51" s="20">
        <v>1</v>
      </c>
      <c r="E51" s="20">
        <v>1.5</v>
      </c>
      <c r="F51" s="21">
        <v>2</v>
      </c>
    </row>
    <row r="52" spans="2:6" x14ac:dyDescent="0.45">
      <c r="B52" s="7" t="s">
        <v>90</v>
      </c>
      <c r="D52" s="16">
        <f>D28*D51</f>
        <v>633.6</v>
      </c>
      <c r="E52" s="16">
        <f>D52*E51</f>
        <v>950.40000000000009</v>
      </c>
      <c r="F52" s="17">
        <f>D52*F51</f>
        <v>1267.2</v>
      </c>
    </row>
    <row r="53" spans="2:6" x14ac:dyDescent="0.45">
      <c r="B53" s="8" t="s">
        <v>116</v>
      </c>
      <c r="C53" s="9"/>
      <c r="D53" s="118">
        <f>D28+D9</f>
        <v>1017.6</v>
      </c>
      <c r="E53" s="118"/>
      <c r="F53" s="119"/>
    </row>
    <row r="54" spans="2:6" x14ac:dyDescent="0.45">
      <c r="B54" s="3" t="s">
        <v>119</v>
      </c>
    </row>
  </sheetData>
  <mergeCells count="1">
    <mergeCell ref="D53:F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74DB-7CD6-4DE2-A03C-88A8D44BA73B}">
  <dimension ref="A2:O80"/>
  <sheetViews>
    <sheetView showGridLines="0" topLeftCell="A51" zoomScaleNormal="100" workbookViewId="0">
      <selection activeCell="G54" sqref="G54:J54"/>
    </sheetView>
  </sheetViews>
  <sheetFormatPr defaultColWidth="8.81640625" defaultRowHeight="17.5" customHeight="1" x14ac:dyDescent="0.35"/>
  <cols>
    <col min="1" max="1" width="4" style="3" customWidth="1"/>
    <col min="2" max="2" width="31.453125" style="3" customWidth="1"/>
    <col min="3" max="3" width="11.81640625" style="3" customWidth="1"/>
    <col min="4" max="5" width="12.81640625" style="3" customWidth="1"/>
    <col min="6" max="6" width="0.90625" style="3" customWidth="1"/>
    <col min="7" max="11" width="12.81640625" style="3" customWidth="1"/>
    <col min="12" max="12" width="8.81640625" style="3"/>
    <col min="13" max="13" width="10.08984375" style="3" customWidth="1"/>
    <col min="14" max="14" width="15.36328125" style="3" customWidth="1"/>
    <col min="15" max="18" width="15.453125" style="3" customWidth="1"/>
    <col min="19" max="16384" width="8.81640625" style="3"/>
  </cols>
  <sheetData>
    <row r="2" spans="1:15" ht="17.5" customHeight="1" x14ac:dyDescent="0.45">
      <c r="A2" s="1" t="s">
        <v>23</v>
      </c>
    </row>
    <row r="3" spans="1:15" ht="17.5" customHeight="1" x14ac:dyDescent="0.45">
      <c r="A3" s="1"/>
      <c r="B3" s="3" t="s">
        <v>30</v>
      </c>
    </row>
    <row r="5" spans="1:15" ht="17.5" customHeight="1" x14ac:dyDescent="0.35">
      <c r="B5" s="10"/>
      <c r="C5" s="12" t="s">
        <v>19</v>
      </c>
      <c r="D5" s="12" t="s">
        <v>20</v>
      </c>
      <c r="E5" s="13" t="s">
        <v>21</v>
      </c>
    </row>
    <row r="6" spans="1:15" ht="17.5" customHeight="1" x14ac:dyDescent="0.35">
      <c r="B6" s="7" t="s">
        <v>32</v>
      </c>
      <c r="E6" s="18"/>
    </row>
    <row r="7" spans="1:15" ht="17.5" customHeight="1" x14ac:dyDescent="0.35">
      <c r="B7" s="19" t="s">
        <v>25</v>
      </c>
      <c r="C7" s="15">
        <f>'Capacity Provider'!D50</f>
        <v>104.4</v>
      </c>
      <c r="D7" s="15">
        <f>'Capacity Provider'!E50</f>
        <v>208.8</v>
      </c>
      <c r="E7" s="14">
        <f>'Capacity Provider'!F50</f>
        <v>313.20000000000005</v>
      </c>
      <c r="M7" s="38"/>
    </row>
    <row r="8" spans="1:15" ht="17.5" customHeight="1" x14ac:dyDescent="0.35">
      <c r="B8" s="19" t="s">
        <v>26</v>
      </c>
      <c r="C8" s="16">
        <f>'Capacity Provider'!D52</f>
        <v>633.6</v>
      </c>
      <c r="D8" s="16">
        <f>'Capacity Provider'!E52</f>
        <v>950.40000000000009</v>
      </c>
      <c r="E8" s="17">
        <f>'Capacity Provider'!F52</f>
        <v>1267.2</v>
      </c>
    </row>
    <row r="9" spans="1:15" ht="17.5" customHeight="1" x14ac:dyDescent="0.35">
      <c r="B9" s="19" t="s">
        <v>118</v>
      </c>
      <c r="C9" s="116">
        <f>'Capacity Provider'!D53</f>
        <v>1017.6</v>
      </c>
      <c r="D9" s="116"/>
      <c r="E9" s="117"/>
      <c r="G9" s="67"/>
    </row>
    <row r="10" spans="1:15" ht="17.5" customHeight="1" x14ac:dyDescent="0.35">
      <c r="B10" s="7" t="s">
        <v>24</v>
      </c>
      <c r="E10" s="18"/>
    </row>
    <row r="11" spans="1:15" ht="17.5" customHeight="1" x14ac:dyDescent="0.35">
      <c r="B11" s="19" t="s">
        <v>130</v>
      </c>
      <c r="C11" s="120">
        <f>'Capacity Provider'!D41</f>
        <v>220</v>
      </c>
      <c r="D11" s="120"/>
      <c r="E11" s="121"/>
    </row>
    <row r="12" spans="1:15" ht="17.5" customHeight="1" x14ac:dyDescent="0.35">
      <c r="B12" s="19" t="s">
        <v>79</v>
      </c>
      <c r="C12" s="120">
        <f>MIN('Capacity Provider'!D41, 'Capacity Provider'!D44)</f>
        <v>152</v>
      </c>
      <c r="D12" s="120"/>
      <c r="E12" s="121"/>
    </row>
    <row r="13" spans="1:15" ht="17.5" customHeight="1" x14ac:dyDescent="0.35">
      <c r="B13" s="19" t="s">
        <v>80</v>
      </c>
      <c r="C13" s="116">
        <f>C8</f>
        <v>633.6</v>
      </c>
      <c r="D13" s="116"/>
      <c r="E13" s="117"/>
    </row>
    <row r="14" spans="1:15" ht="17.5" customHeight="1" x14ac:dyDescent="0.35">
      <c r="B14" s="22" t="s">
        <v>120</v>
      </c>
      <c r="C14" s="118">
        <f>'Capacity Provider'!D53</f>
        <v>1017.6</v>
      </c>
      <c r="D14" s="118"/>
      <c r="E14" s="119"/>
      <c r="M14" s="38"/>
      <c r="O14" s="99"/>
    </row>
    <row r="15" spans="1:15" ht="17.5" customHeight="1" x14ac:dyDescent="0.35">
      <c r="B15" s="33" t="s">
        <v>115</v>
      </c>
    </row>
    <row r="16" spans="1:15" ht="17.5" customHeight="1" x14ac:dyDescent="0.35">
      <c r="I16" s="33"/>
    </row>
    <row r="17" spans="1:6" ht="17.5" customHeight="1" x14ac:dyDescent="0.45">
      <c r="A17" s="1" t="s">
        <v>27</v>
      </c>
    </row>
    <row r="18" spans="1:6" ht="17.5" customHeight="1" x14ac:dyDescent="0.35">
      <c r="B18" s="3" t="s">
        <v>28</v>
      </c>
    </row>
    <row r="19" spans="1:6" ht="17.5" customHeight="1" x14ac:dyDescent="0.35">
      <c r="B19" s="3" t="s">
        <v>29</v>
      </c>
    </row>
    <row r="20" spans="1:6" ht="17.5" customHeight="1" x14ac:dyDescent="0.35">
      <c r="B20" s="3" t="s">
        <v>77</v>
      </c>
      <c r="C20" s="5">
        <v>4</v>
      </c>
      <c r="D20" s="3" t="s">
        <v>78</v>
      </c>
    </row>
    <row r="22" spans="1:6" s="55" customFormat="1" ht="23" customHeight="1" x14ac:dyDescent="0.35">
      <c r="B22" s="66" t="s">
        <v>82</v>
      </c>
      <c r="C22" s="71" t="s">
        <v>19</v>
      </c>
      <c r="D22" s="71" t="s">
        <v>20</v>
      </c>
      <c r="E22" s="72" t="s">
        <v>21</v>
      </c>
      <c r="F22" s="3"/>
    </row>
    <row r="23" spans="1:6" ht="17.5" customHeight="1" x14ac:dyDescent="0.35">
      <c r="B23" s="7" t="s">
        <v>81</v>
      </c>
      <c r="C23" s="76">
        <f>D23*2</f>
        <v>16</v>
      </c>
      <c r="D23" s="76">
        <f>E23*2</f>
        <v>8</v>
      </c>
      <c r="E23" s="23">
        <v>4</v>
      </c>
    </row>
    <row r="24" spans="1:6" ht="17.5" customHeight="1" x14ac:dyDescent="0.35">
      <c r="B24" s="7" t="s">
        <v>84</v>
      </c>
      <c r="C24" s="34">
        <v>0.6</v>
      </c>
      <c r="D24" s="34">
        <f>C24/2</f>
        <v>0.3</v>
      </c>
      <c r="E24" s="35">
        <f>D24/2</f>
        <v>0.15</v>
      </c>
    </row>
    <row r="25" spans="1:6" ht="17.5" customHeight="1" x14ac:dyDescent="0.35">
      <c r="B25" s="19" t="s">
        <v>132</v>
      </c>
      <c r="C25" s="77">
        <v>0.5</v>
      </c>
      <c r="D25" s="77">
        <f>C25</f>
        <v>0.5</v>
      </c>
      <c r="E25" s="75">
        <f>D25</f>
        <v>0.5</v>
      </c>
    </row>
    <row r="26" spans="1:6" ht="17.5" customHeight="1" x14ac:dyDescent="0.35">
      <c r="B26" s="7" t="s">
        <v>83</v>
      </c>
      <c r="C26" s="30">
        <f>C23*C20</f>
        <v>64</v>
      </c>
      <c r="D26" s="30">
        <f>D23*C20</f>
        <v>32</v>
      </c>
      <c r="E26" s="36">
        <f>E23*C20</f>
        <v>16</v>
      </c>
    </row>
    <row r="27" spans="1:6" ht="17.5" customHeight="1" x14ac:dyDescent="0.35">
      <c r="B27" s="7" t="s">
        <v>84</v>
      </c>
      <c r="C27" s="34">
        <v>1</v>
      </c>
      <c r="D27" s="34">
        <v>0.5</v>
      </c>
      <c r="E27" s="35">
        <v>0.25</v>
      </c>
    </row>
    <row r="28" spans="1:6" ht="17.5" customHeight="1" x14ac:dyDescent="0.35">
      <c r="B28" s="22" t="s">
        <v>132</v>
      </c>
      <c r="C28" s="78">
        <v>0.85</v>
      </c>
      <c r="D28" s="78">
        <f>C28</f>
        <v>0.85</v>
      </c>
      <c r="E28" s="79">
        <f>D28</f>
        <v>0.85</v>
      </c>
    </row>
    <row r="29" spans="1:6" ht="17.5" customHeight="1" x14ac:dyDescent="0.35">
      <c r="B29" s="3" t="s">
        <v>75</v>
      </c>
    </row>
    <row r="30" spans="1:6" ht="17.5" customHeight="1" x14ac:dyDescent="0.35">
      <c r="B30" s="3" t="s">
        <v>74</v>
      </c>
    </row>
    <row r="31" spans="1:6" ht="17.5" customHeight="1" x14ac:dyDescent="0.35">
      <c r="B31" s="3" t="s">
        <v>76</v>
      </c>
    </row>
    <row r="32" spans="1:6" ht="17.5" customHeight="1" x14ac:dyDescent="0.35">
      <c r="B32" s="3" t="s">
        <v>56</v>
      </c>
    </row>
    <row r="34" spans="1:9" ht="17.5" customHeight="1" x14ac:dyDescent="0.45">
      <c r="A34" s="1" t="s">
        <v>33</v>
      </c>
    </row>
    <row r="35" spans="1:9" ht="17.5" customHeight="1" x14ac:dyDescent="0.35">
      <c r="B35" s="3" t="s">
        <v>0</v>
      </c>
      <c r="C35" s="6">
        <f>'Capacity Provider'!D3</f>
        <v>2.5</v>
      </c>
      <c r="D35" s="3" t="s">
        <v>5</v>
      </c>
    </row>
    <row r="36" spans="1:9" ht="17.5" customHeight="1" x14ac:dyDescent="0.35">
      <c r="B36" s="3" t="s">
        <v>133</v>
      </c>
      <c r="C36" s="6"/>
    </row>
    <row r="37" spans="1:9" ht="17.5" customHeight="1" x14ac:dyDescent="0.35">
      <c r="B37" s="3" t="s">
        <v>91</v>
      </c>
    </row>
    <row r="39" spans="1:9" ht="17.5" customHeight="1" x14ac:dyDescent="0.45">
      <c r="A39" s="1" t="s">
        <v>85</v>
      </c>
      <c r="I39" s="74"/>
    </row>
    <row r="40" spans="1:9" ht="17.5" customHeight="1" x14ac:dyDescent="0.35">
      <c r="B40" s="3" t="s">
        <v>86</v>
      </c>
      <c r="I40" s="74"/>
    </row>
    <row r="41" spans="1:9" ht="17.5" customHeight="1" x14ac:dyDescent="0.35">
      <c r="B41" s="38" t="s">
        <v>92</v>
      </c>
    </row>
    <row r="42" spans="1:9" ht="17.5" customHeight="1" x14ac:dyDescent="0.35">
      <c r="B42" s="38" t="s">
        <v>93</v>
      </c>
    </row>
    <row r="43" spans="1:9" ht="17.5" customHeight="1" x14ac:dyDescent="0.35">
      <c r="B43" s="3" t="s">
        <v>94</v>
      </c>
    </row>
    <row r="44" spans="1:9" ht="17.5" customHeight="1" x14ac:dyDescent="0.35">
      <c r="B44" s="38" t="s">
        <v>87</v>
      </c>
    </row>
    <row r="45" spans="1:9" ht="17.5" customHeight="1" x14ac:dyDescent="0.35">
      <c r="B45" s="38" t="s">
        <v>148</v>
      </c>
    </row>
    <row r="46" spans="1:9" ht="17.5" customHeight="1" x14ac:dyDescent="0.35">
      <c r="B46" s="38" t="s">
        <v>131</v>
      </c>
    </row>
    <row r="47" spans="1:9" ht="17.5" customHeight="1" x14ac:dyDescent="0.35">
      <c r="B47" s="39" t="s">
        <v>147</v>
      </c>
    </row>
    <row r="48" spans="1:9" ht="17.5" customHeight="1" x14ac:dyDescent="0.35">
      <c r="B48" s="39" t="s">
        <v>136</v>
      </c>
    </row>
    <row r="49" spans="1:14" ht="17.5" customHeight="1" x14ac:dyDescent="0.35">
      <c r="B49" s="39" t="s">
        <v>168</v>
      </c>
    </row>
    <row r="50" spans="1:14" ht="17.5" customHeight="1" x14ac:dyDescent="0.35">
      <c r="B50" s="39" t="s">
        <v>169</v>
      </c>
    </row>
    <row r="51" spans="1:14" ht="17.5" customHeight="1" x14ac:dyDescent="0.35">
      <c r="B51" s="39"/>
    </row>
    <row r="53" spans="1:14" ht="17.5" customHeight="1" x14ac:dyDescent="0.45">
      <c r="A53" s="1" t="s">
        <v>121</v>
      </c>
    </row>
    <row r="54" spans="1:14" ht="17.5" customHeight="1" x14ac:dyDescent="0.35">
      <c r="B54" s="109" t="s">
        <v>14</v>
      </c>
      <c r="C54" s="112" t="s">
        <v>31</v>
      </c>
      <c r="D54" s="112" t="s">
        <v>113</v>
      </c>
      <c r="E54" s="112" t="s">
        <v>114</v>
      </c>
      <c r="G54" s="114" t="s">
        <v>144</v>
      </c>
      <c r="H54" s="111"/>
      <c r="I54" s="111"/>
      <c r="J54" s="115"/>
      <c r="K54" s="111" t="s">
        <v>145</v>
      </c>
      <c r="L54" s="111"/>
      <c r="M54" s="114" t="s">
        <v>146</v>
      </c>
      <c r="N54" s="115"/>
    </row>
    <row r="55" spans="1:14" ht="17.5" customHeight="1" x14ac:dyDescent="0.35">
      <c r="B55" s="110"/>
      <c r="C55" s="113"/>
      <c r="D55" s="113"/>
      <c r="E55" s="113"/>
      <c r="G55" s="24" t="s">
        <v>48</v>
      </c>
      <c r="H55" s="25" t="s">
        <v>11</v>
      </c>
      <c r="I55" s="25" t="s">
        <v>49</v>
      </c>
      <c r="J55" s="26" t="s">
        <v>13</v>
      </c>
      <c r="K55" s="25" t="s">
        <v>11</v>
      </c>
      <c r="L55" s="25" t="s">
        <v>13</v>
      </c>
      <c r="M55" s="24" t="s">
        <v>11</v>
      </c>
      <c r="N55" s="26" t="s">
        <v>13</v>
      </c>
    </row>
    <row r="56" spans="1:14" ht="17.5" customHeight="1" x14ac:dyDescent="0.35">
      <c r="B56" s="7" t="s">
        <v>34</v>
      </c>
      <c r="C56" s="41">
        <v>6</v>
      </c>
      <c r="D56" s="51">
        <f>C56*C23</f>
        <v>96</v>
      </c>
      <c r="E56" s="51">
        <f>C56*C$26</f>
        <v>384</v>
      </c>
      <c r="G56" s="107">
        <f>G57/'Capacity Provider'!D$49</f>
        <v>2</v>
      </c>
      <c r="H56" s="15">
        <f>C56*C$23*G56</f>
        <v>192</v>
      </c>
      <c r="I56" s="40">
        <f>'Capacity Provider'!F51</f>
        <v>2</v>
      </c>
      <c r="J56" s="17">
        <f>C56*C$26*I56</f>
        <v>768</v>
      </c>
      <c r="K56" s="27">
        <f>C$24*C$35*C56*C$23</f>
        <v>144</v>
      </c>
      <c r="L56" s="16">
        <f>C$26*C$27*C56</f>
        <v>384</v>
      </c>
      <c r="M56" s="96">
        <f>D56*C$25</f>
        <v>48</v>
      </c>
      <c r="N56" s="84">
        <f>E56*C$28</f>
        <v>326.39999999999998</v>
      </c>
    </row>
    <row r="57" spans="1:14" ht="17.5" customHeight="1" x14ac:dyDescent="0.35">
      <c r="B57" s="7" t="s">
        <v>35</v>
      </c>
      <c r="C57" s="41">
        <v>1</v>
      </c>
      <c r="D57" s="51">
        <f>C57*D23</f>
        <v>8</v>
      </c>
      <c r="E57" s="51">
        <f>C57*D$26</f>
        <v>32</v>
      </c>
      <c r="G57" s="107">
        <v>1</v>
      </c>
      <c r="H57" s="15">
        <f>C57*D$23*G57</f>
        <v>8</v>
      </c>
      <c r="I57" s="40">
        <f>'Capacity Provider'!E51</f>
        <v>1.5</v>
      </c>
      <c r="J57" s="17">
        <f>C57*D$26*I57</f>
        <v>48</v>
      </c>
      <c r="K57" s="27">
        <f>C57*D$23*C$35*D$24</f>
        <v>6</v>
      </c>
      <c r="L57" s="16">
        <f>C57*D$27*D$26</f>
        <v>16</v>
      </c>
      <c r="M57" s="97">
        <f>D57*D$25</f>
        <v>4</v>
      </c>
      <c r="N57" s="17">
        <f>E57*D$28</f>
        <v>27.2</v>
      </c>
    </row>
    <row r="58" spans="1:14" ht="17.5" customHeight="1" x14ac:dyDescent="0.35">
      <c r="B58" s="7" t="s">
        <v>36</v>
      </c>
      <c r="C58" s="41">
        <v>3</v>
      </c>
      <c r="D58" s="51">
        <f>C58*E23</f>
        <v>12</v>
      </c>
      <c r="E58" s="51">
        <f>C58*E$26</f>
        <v>48</v>
      </c>
      <c r="G58" s="107">
        <f>G57/'Capacity Provider'!F$49</f>
        <v>0.66666666666666663</v>
      </c>
      <c r="H58" s="15">
        <f>C58*E$23</f>
        <v>12</v>
      </c>
      <c r="I58" s="40">
        <f>'Capacity Provider'!D51</f>
        <v>1</v>
      </c>
      <c r="J58" s="17">
        <f>C58*E$26</f>
        <v>48</v>
      </c>
      <c r="K58" s="27">
        <f>E$23*C58*C$35*E$24</f>
        <v>4.5</v>
      </c>
      <c r="L58" s="16">
        <f>C58*E$27*E$26</f>
        <v>12</v>
      </c>
      <c r="M58" s="97">
        <f>D58*E$25</f>
        <v>6</v>
      </c>
      <c r="N58" s="17">
        <f>E58*E$28</f>
        <v>40.799999999999997</v>
      </c>
    </row>
    <row r="59" spans="1:14" ht="17.5" customHeight="1" thickBot="1" x14ac:dyDescent="0.4">
      <c r="B59" s="85" t="s">
        <v>38</v>
      </c>
      <c r="C59" s="86">
        <f>SUM(C56:C58)</f>
        <v>10</v>
      </c>
      <c r="D59" s="86">
        <f>SUM(D56:D58)</f>
        <v>116</v>
      </c>
      <c r="E59" s="86">
        <f>SUM(E56:E58)</f>
        <v>464</v>
      </c>
      <c r="G59" s="81"/>
      <c r="H59" s="82">
        <f>SUM(H56:H58)</f>
        <v>212</v>
      </c>
      <c r="I59" s="82"/>
      <c r="J59" s="83">
        <f>SUM(J56:J58)</f>
        <v>864</v>
      </c>
      <c r="K59" s="87">
        <f>SUM(K56:K58)</f>
        <v>154.5</v>
      </c>
      <c r="L59" s="88">
        <f>SUM(L56:L58)</f>
        <v>412</v>
      </c>
      <c r="M59" s="98">
        <f>SUM(M56:M58)</f>
        <v>58</v>
      </c>
      <c r="N59" s="80">
        <f>SUM(N56:N58)</f>
        <v>394.4</v>
      </c>
    </row>
    <row r="60" spans="1:14" s="55" customFormat="1" ht="20" customHeight="1" thickBot="1" x14ac:dyDescent="0.4">
      <c r="B60" s="89" t="s">
        <v>88</v>
      </c>
      <c r="C60" s="90"/>
      <c r="D60" s="90"/>
      <c r="E60" s="90"/>
      <c r="F60" s="90"/>
      <c r="G60" s="90"/>
      <c r="H60" s="91">
        <f>H59/E$7</f>
        <v>0.6768837803320561</v>
      </c>
      <c r="I60" s="91"/>
      <c r="J60" s="92">
        <f>J59/C$9</f>
        <v>0.84905660377358494</v>
      </c>
      <c r="K60" s="91">
        <f>K59/C$12</f>
        <v>1.0164473684210527</v>
      </c>
      <c r="L60" s="91">
        <f>L59/C$13</f>
        <v>0.65025252525252519</v>
      </c>
      <c r="M60" s="93">
        <f>(M59+'Capacity Provider'!D$17)/'Capacity Provider'!D$19</f>
        <v>0.67049808429118773</v>
      </c>
      <c r="N60" s="94">
        <f>(N59+'Capacity Provider'!D$27)/'Capacity Provider'!D$28</f>
        <v>0.7234848484848484</v>
      </c>
    </row>
    <row r="63" spans="1:14" ht="17.5" customHeight="1" x14ac:dyDescent="0.45">
      <c r="A63" s="1" t="s">
        <v>122</v>
      </c>
    </row>
    <row r="64" spans="1:14" ht="17.5" customHeight="1" x14ac:dyDescent="0.35">
      <c r="B64" s="109" t="s">
        <v>14</v>
      </c>
      <c r="C64" s="112" t="s">
        <v>31</v>
      </c>
      <c r="D64" s="112" t="s">
        <v>113</v>
      </c>
      <c r="E64" s="112" t="s">
        <v>114</v>
      </c>
      <c r="G64" s="114" t="s">
        <v>144</v>
      </c>
      <c r="H64" s="111"/>
      <c r="I64" s="111"/>
      <c r="J64" s="115"/>
      <c r="K64" s="111" t="s">
        <v>145</v>
      </c>
      <c r="L64" s="111"/>
      <c r="M64" s="114" t="s">
        <v>146</v>
      </c>
      <c r="N64" s="115"/>
    </row>
    <row r="65" spans="1:14" ht="17.5" customHeight="1" x14ac:dyDescent="0.35">
      <c r="B65" s="110"/>
      <c r="C65" s="113"/>
      <c r="D65" s="113"/>
      <c r="E65" s="113"/>
      <c r="G65" s="24" t="s">
        <v>48</v>
      </c>
      <c r="H65" s="25" t="s">
        <v>11</v>
      </c>
      <c r="I65" s="25" t="s">
        <v>49</v>
      </c>
      <c r="J65" s="26" t="s">
        <v>13</v>
      </c>
      <c r="K65" s="25" t="s">
        <v>11</v>
      </c>
      <c r="L65" s="25" t="s">
        <v>13</v>
      </c>
      <c r="M65" s="24" t="s">
        <v>11</v>
      </c>
      <c r="N65" s="26" t="s">
        <v>13</v>
      </c>
    </row>
    <row r="66" spans="1:14" ht="17.5" customHeight="1" x14ac:dyDescent="0.35">
      <c r="B66" s="7" t="s">
        <v>34</v>
      </c>
      <c r="C66" s="41">
        <v>2</v>
      </c>
      <c r="D66" s="51">
        <f>C66*C$23</f>
        <v>32</v>
      </c>
      <c r="E66" s="51">
        <f>C66*C$26</f>
        <v>128</v>
      </c>
      <c r="G66" s="107">
        <f>G67/'Capacity Provider'!D$49</f>
        <v>2</v>
      </c>
      <c r="H66" s="15">
        <f>C66*C$23*G66</f>
        <v>64</v>
      </c>
      <c r="I66" s="40">
        <f>I56</f>
        <v>2</v>
      </c>
      <c r="J66" s="17">
        <f>C66*C$26*I66</f>
        <v>256</v>
      </c>
      <c r="K66" s="27">
        <f>C$24*C$35*C66*C$23</f>
        <v>48</v>
      </c>
      <c r="L66" s="16">
        <f>C$26*C$27*C66</f>
        <v>128</v>
      </c>
      <c r="M66" s="96">
        <f>D66*C$25</f>
        <v>16</v>
      </c>
      <c r="N66" s="84">
        <f>E66*C$28</f>
        <v>108.8</v>
      </c>
    </row>
    <row r="67" spans="1:14" ht="17.5" customHeight="1" x14ac:dyDescent="0.35">
      <c r="B67" s="7" t="s">
        <v>35</v>
      </c>
      <c r="C67" s="41">
        <v>13</v>
      </c>
      <c r="D67" s="51">
        <f>C67*D$23</f>
        <v>104</v>
      </c>
      <c r="E67" s="51">
        <f>C67*D$26</f>
        <v>416</v>
      </c>
      <c r="G67" s="107">
        <v>1</v>
      </c>
      <c r="H67" s="15">
        <f>C67*D$23*G67</f>
        <v>104</v>
      </c>
      <c r="I67" s="40">
        <f>I57</f>
        <v>1.5</v>
      </c>
      <c r="J67" s="17">
        <f>C67*D$26*I67</f>
        <v>624</v>
      </c>
      <c r="K67" s="27">
        <f>C67*D$23*C$35*D$24</f>
        <v>78</v>
      </c>
      <c r="L67" s="16">
        <f>C67*D$27*D$26</f>
        <v>208</v>
      </c>
      <c r="M67" s="97">
        <f>D67*D$25</f>
        <v>52</v>
      </c>
      <c r="N67" s="17">
        <f>E67*D$28</f>
        <v>353.59999999999997</v>
      </c>
    </row>
    <row r="68" spans="1:14" ht="17.5" customHeight="1" x14ac:dyDescent="0.35">
      <c r="B68" s="7" t="s">
        <v>36</v>
      </c>
      <c r="C68" s="41">
        <v>8</v>
      </c>
      <c r="D68" s="51">
        <f>C68*E$23</f>
        <v>32</v>
      </c>
      <c r="E68" s="51">
        <f>C68*E$26</f>
        <v>128</v>
      </c>
      <c r="G68" s="107">
        <f>G67/'Capacity Provider'!F$49</f>
        <v>0.66666666666666663</v>
      </c>
      <c r="H68" s="15">
        <f>C68*E$23</f>
        <v>32</v>
      </c>
      <c r="I68" s="40">
        <f>I58</f>
        <v>1</v>
      </c>
      <c r="J68" s="17">
        <f>C68*E$26</f>
        <v>128</v>
      </c>
      <c r="K68" s="27">
        <f>E$23*C68*C$35*E$24</f>
        <v>12</v>
      </c>
      <c r="L68" s="16">
        <f>C68*E$27*E$26</f>
        <v>32</v>
      </c>
      <c r="M68" s="97">
        <f>D68*E$25</f>
        <v>16</v>
      </c>
      <c r="N68" s="17">
        <f>E68*E$28</f>
        <v>108.8</v>
      </c>
    </row>
    <row r="69" spans="1:14" ht="17.5" customHeight="1" thickBot="1" x14ac:dyDescent="0.4">
      <c r="B69" s="85" t="s">
        <v>38</v>
      </c>
      <c r="C69" s="86">
        <f>SUM(C66:C68)</f>
        <v>23</v>
      </c>
      <c r="D69" s="86">
        <f>SUM(D66:D68)</f>
        <v>168</v>
      </c>
      <c r="E69" s="86">
        <f>SUM(E66:E68)</f>
        <v>672</v>
      </c>
      <c r="G69" s="81"/>
      <c r="H69" s="82">
        <f>SUM(H66:H68)</f>
        <v>200</v>
      </c>
      <c r="I69" s="82"/>
      <c r="J69" s="83">
        <f>SUM(J66:J68)</f>
        <v>1008</v>
      </c>
      <c r="K69" s="87">
        <f>SUM(K66:K68)</f>
        <v>138</v>
      </c>
      <c r="L69" s="88">
        <f>SUM(L66:L68)</f>
        <v>368</v>
      </c>
      <c r="M69" s="98">
        <f>SUM(M66:M68)</f>
        <v>84</v>
      </c>
      <c r="N69" s="80">
        <f>SUM(N66:N68)</f>
        <v>571.19999999999993</v>
      </c>
    </row>
    <row r="70" spans="1:14" s="55" customFormat="1" ht="20" customHeight="1" thickBot="1" x14ac:dyDescent="0.4">
      <c r="B70" s="89" t="s">
        <v>88</v>
      </c>
      <c r="C70" s="90"/>
      <c r="D70" s="90"/>
      <c r="E70" s="90"/>
      <c r="F70" s="90"/>
      <c r="G70" s="90"/>
      <c r="H70" s="91">
        <f>H69/E$7</f>
        <v>0.63856960408684538</v>
      </c>
      <c r="I70" s="91"/>
      <c r="J70" s="92">
        <f>J69/C$9</f>
        <v>0.99056603773584906</v>
      </c>
      <c r="K70" s="91">
        <f>K69/C$12</f>
        <v>0.90789473684210531</v>
      </c>
      <c r="L70" s="91">
        <f>L69/C$13</f>
        <v>0.58080808080808077</v>
      </c>
      <c r="M70" s="93">
        <f>(M69+'Capacity Provider'!D$17)/'Capacity Provider'!D$19</f>
        <v>0.91954022988505746</v>
      </c>
      <c r="N70" s="94">
        <f>(N69+'Capacity Provider'!D$27)/'Capacity Provider'!D$28</f>
        <v>1.0025252525252524</v>
      </c>
    </row>
    <row r="73" spans="1:14" ht="17.5" customHeight="1" x14ac:dyDescent="0.45">
      <c r="A73" s="1" t="s">
        <v>123</v>
      </c>
    </row>
    <row r="74" spans="1:14" ht="17.5" customHeight="1" x14ac:dyDescent="0.35">
      <c r="B74" s="109" t="s">
        <v>14</v>
      </c>
      <c r="C74" s="112" t="s">
        <v>31</v>
      </c>
      <c r="D74" s="112" t="s">
        <v>113</v>
      </c>
      <c r="E74" s="112" t="s">
        <v>114</v>
      </c>
      <c r="G74" s="114" t="s">
        <v>144</v>
      </c>
      <c r="H74" s="111"/>
      <c r="I74" s="111"/>
      <c r="J74" s="115"/>
      <c r="K74" s="111" t="s">
        <v>145</v>
      </c>
      <c r="L74" s="111"/>
      <c r="M74" s="114" t="s">
        <v>146</v>
      </c>
      <c r="N74" s="115"/>
    </row>
    <row r="75" spans="1:14" ht="17.5" customHeight="1" x14ac:dyDescent="0.35">
      <c r="B75" s="110"/>
      <c r="C75" s="113"/>
      <c r="D75" s="113"/>
      <c r="E75" s="113"/>
      <c r="G75" s="24" t="s">
        <v>48</v>
      </c>
      <c r="H75" s="25" t="s">
        <v>11</v>
      </c>
      <c r="I75" s="25" t="s">
        <v>47</v>
      </c>
      <c r="J75" s="26" t="s">
        <v>13</v>
      </c>
      <c r="K75" s="25" t="s">
        <v>11</v>
      </c>
      <c r="L75" s="25" t="s">
        <v>13</v>
      </c>
      <c r="M75" s="24" t="s">
        <v>11</v>
      </c>
      <c r="N75" s="26" t="s">
        <v>13</v>
      </c>
    </row>
    <row r="76" spans="1:14" ht="17.5" customHeight="1" x14ac:dyDescent="0.35">
      <c r="B76" s="7" t="s">
        <v>34</v>
      </c>
      <c r="C76" s="41">
        <v>1</v>
      </c>
      <c r="D76" s="51">
        <f>C76*C$23</f>
        <v>16</v>
      </c>
      <c r="E76" s="51">
        <f>C76*C$26</f>
        <v>64</v>
      </c>
      <c r="G76" s="107">
        <f>G77/'Capacity Provider'!D$49</f>
        <v>2</v>
      </c>
      <c r="H76" s="15">
        <f>C76*C$23*G76</f>
        <v>32</v>
      </c>
      <c r="I76" s="40">
        <f>I66</f>
        <v>2</v>
      </c>
      <c r="J76" s="17">
        <f>I76*C$26*C76</f>
        <v>128</v>
      </c>
      <c r="K76" s="27">
        <f>C$24*C$35*C76*C$23</f>
        <v>24</v>
      </c>
      <c r="L76" s="16">
        <f>C$26*C$27*C76</f>
        <v>64</v>
      </c>
      <c r="M76" s="96">
        <f>D76*C$25</f>
        <v>8</v>
      </c>
      <c r="N76" s="84">
        <f>E76*C$28</f>
        <v>54.4</v>
      </c>
    </row>
    <row r="77" spans="1:14" ht="17.5" customHeight="1" x14ac:dyDescent="0.35">
      <c r="B77" s="7" t="s">
        <v>35</v>
      </c>
      <c r="C77" s="41">
        <v>6</v>
      </c>
      <c r="D77" s="51">
        <f>C77*D$23</f>
        <v>48</v>
      </c>
      <c r="E77" s="51">
        <f>C77*D$26</f>
        <v>192</v>
      </c>
      <c r="G77" s="107">
        <v>1</v>
      </c>
      <c r="H77" s="15">
        <f>C77*D$23*G77</f>
        <v>48</v>
      </c>
      <c r="I77" s="40">
        <f>I67</f>
        <v>1.5</v>
      </c>
      <c r="J77" s="17">
        <f>C77*D$26*I77</f>
        <v>288</v>
      </c>
      <c r="K77" s="27">
        <f>C77*D$23*C$35*D$24</f>
        <v>36</v>
      </c>
      <c r="L77" s="16">
        <f>C77*D$27*D$26</f>
        <v>96</v>
      </c>
      <c r="M77" s="97">
        <f>D77*D$25</f>
        <v>24</v>
      </c>
      <c r="N77" s="17">
        <f>E77*D$28</f>
        <v>163.19999999999999</v>
      </c>
    </row>
    <row r="78" spans="1:14" ht="17.5" customHeight="1" x14ac:dyDescent="0.35">
      <c r="B78" s="7" t="s">
        <v>36</v>
      </c>
      <c r="C78" s="41">
        <v>27</v>
      </c>
      <c r="D78" s="51">
        <f>C78*E$23</f>
        <v>108</v>
      </c>
      <c r="E78" s="51">
        <f>C78*E$26</f>
        <v>432</v>
      </c>
      <c r="G78" s="107">
        <f>G77/'Capacity Provider'!F$49</f>
        <v>0.66666666666666663</v>
      </c>
      <c r="H78" s="15">
        <f>C78*E$23</f>
        <v>108</v>
      </c>
      <c r="I78" s="40">
        <f>I68</f>
        <v>1</v>
      </c>
      <c r="J78" s="17">
        <f>C78*E$26</f>
        <v>432</v>
      </c>
      <c r="K78" s="27">
        <f>E$23*C78*C$35*E$24</f>
        <v>40.5</v>
      </c>
      <c r="L78" s="16">
        <f>C78*E$27*E$26</f>
        <v>108</v>
      </c>
      <c r="M78" s="97">
        <f>D78*E$25</f>
        <v>54</v>
      </c>
      <c r="N78" s="17">
        <f>E78*E$28</f>
        <v>367.2</v>
      </c>
    </row>
    <row r="79" spans="1:14" ht="17.5" customHeight="1" thickBot="1" x14ac:dyDescent="0.4">
      <c r="B79" s="85" t="s">
        <v>38</v>
      </c>
      <c r="C79" s="86">
        <f>SUM(C76:C78)</f>
        <v>34</v>
      </c>
      <c r="D79" s="86">
        <f>SUM(D76:D78)</f>
        <v>172</v>
      </c>
      <c r="E79" s="86">
        <f>SUM(E76:E78)</f>
        <v>688</v>
      </c>
      <c r="G79" s="81"/>
      <c r="H79" s="82">
        <f>SUM(H76:H78)</f>
        <v>188</v>
      </c>
      <c r="I79" s="82"/>
      <c r="J79" s="83">
        <f>SUM(J76:J78)</f>
        <v>848</v>
      </c>
      <c r="K79" s="87">
        <f>SUM(K76:K78)</f>
        <v>100.5</v>
      </c>
      <c r="L79" s="88">
        <f>SUM(L76:L78)</f>
        <v>268</v>
      </c>
      <c r="M79" s="98">
        <f>SUM(M76:M78)</f>
        <v>86</v>
      </c>
      <c r="N79" s="80">
        <f>SUM(N76:N78)</f>
        <v>584.79999999999995</v>
      </c>
    </row>
    <row r="80" spans="1:14" s="55" customFormat="1" ht="20" customHeight="1" thickBot="1" x14ac:dyDescent="0.4">
      <c r="B80" s="89" t="s">
        <v>88</v>
      </c>
      <c r="C80" s="90"/>
      <c r="D80" s="90"/>
      <c r="E80" s="90"/>
      <c r="F80" s="90"/>
      <c r="G80" s="90"/>
      <c r="H80" s="91">
        <f>H79/E$7</f>
        <v>0.60025542784163466</v>
      </c>
      <c r="I80" s="91"/>
      <c r="J80" s="92">
        <f>J79/C$9</f>
        <v>0.83333333333333326</v>
      </c>
      <c r="K80" s="91">
        <f>K79/C$12</f>
        <v>0.66118421052631582</v>
      </c>
      <c r="L80" s="91">
        <f>L79/C$13</f>
        <v>0.42297979797979796</v>
      </c>
      <c r="M80" s="93">
        <f>(M79+'Capacity Provider'!D$17)/'Capacity Provider'!D$19</f>
        <v>0.93869731800766276</v>
      </c>
      <c r="N80" s="94">
        <f>(N79+'Capacity Provider'!D$27)/'Capacity Provider'!D$28</f>
        <v>1.0239898989898988</v>
      </c>
    </row>
  </sheetData>
  <mergeCells count="26">
    <mergeCell ref="M54:N54"/>
    <mergeCell ref="M64:N64"/>
    <mergeCell ref="M74:N74"/>
    <mergeCell ref="C9:E9"/>
    <mergeCell ref="C14:E14"/>
    <mergeCell ref="D74:D75"/>
    <mergeCell ref="G64:J64"/>
    <mergeCell ref="G74:J74"/>
    <mergeCell ref="E54:E55"/>
    <mergeCell ref="E64:E65"/>
    <mergeCell ref="E74:E75"/>
    <mergeCell ref="C12:E12"/>
    <mergeCell ref="C13:E13"/>
    <mergeCell ref="C11:E11"/>
    <mergeCell ref="B54:B55"/>
    <mergeCell ref="D54:D55"/>
    <mergeCell ref="G54:J54"/>
    <mergeCell ref="K54:L54"/>
    <mergeCell ref="C54:C55"/>
    <mergeCell ref="B74:B75"/>
    <mergeCell ref="K74:L74"/>
    <mergeCell ref="B64:B65"/>
    <mergeCell ref="D64:D65"/>
    <mergeCell ref="K64:L64"/>
    <mergeCell ref="C64:C65"/>
    <mergeCell ref="C74:C75"/>
  </mergeCells>
  <conditionalFormatting sqref="H60:N60">
    <cfRule type="cellIs" dxfId="11" priority="49" operator="lessThan">
      <formula>1</formula>
    </cfRule>
    <cfRule type="cellIs" dxfId="10" priority="50" operator="greaterThan">
      <formula>1</formula>
    </cfRule>
    <cfRule type="cellIs" dxfId="9" priority="51" operator="greaterThan">
      <formula>100</formula>
    </cfRule>
    <cfRule type="cellIs" dxfId="8" priority="52" operator="greaterThan">
      <formula>100</formula>
    </cfRule>
  </conditionalFormatting>
  <conditionalFormatting sqref="H70:N70">
    <cfRule type="cellIs" dxfId="7" priority="5" operator="lessThan">
      <formula>1</formula>
    </cfRule>
    <cfRule type="cellIs" dxfId="6" priority="6" operator="greaterThan">
      <formula>1</formula>
    </cfRule>
    <cfRule type="cellIs" dxfId="5" priority="7" operator="greaterThan">
      <formula>100</formula>
    </cfRule>
    <cfRule type="cellIs" dxfId="4" priority="8" operator="greaterThan">
      <formula>100</formula>
    </cfRule>
  </conditionalFormatting>
  <conditionalFormatting sqref="H80:N80">
    <cfRule type="cellIs" dxfId="3" priority="1" operator="lessThan">
      <formula>1</formula>
    </cfRule>
    <cfRule type="cellIs" dxfId="2" priority="2" operator="greaterThan">
      <formula>1</formula>
    </cfRule>
    <cfRule type="cellIs" dxfId="1" priority="3" operator="greaterThan">
      <formula>100</formula>
    </cfRule>
    <cfRule type="cellIs" dxfId="0" priority="4" operator="greaterThan">
      <formula>100</formula>
    </cfRule>
  </conditionalFormatting>
  <pageMargins left="0.7" right="0.7" top="0.75" bottom="0.75" header="0.3" footer="0.3"/>
  <pageSetup orientation="portrait" r:id="rId1"/>
  <ignoredErrors>
    <ignoredError sqref="H66:H68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1712-5E25-430B-8726-DA0D608F90DE}">
  <dimension ref="A1:F68"/>
  <sheetViews>
    <sheetView showGridLines="0" tabSelected="1" topLeftCell="A50" zoomScale="140" zoomScaleNormal="140" workbookViewId="0">
      <selection activeCell="B7" sqref="B7"/>
    </sheetView>
  </sheetViews>
  <sheetFormatPr defaultColWidth="8.7265625" defaultRowHeight="21" customHeight="1" x14ac:dyDescent="0.35"/>
  <cols>
    <col min="1" max="1" width="8.7265625" style="3"/>
    <col min="2" max="2" width="28.26953125" style="3" customWidth="1"/>
    <col min="3" max="3" width="11.90625" style="3" customWidth="1"/>
    <col min="4" max="5" width="13.81640625" style="3" customWidth="1"/>
    <col min="6" max="6" width="16.7265625" style="3" customWidth="1"/>
    <col min="7" max="7" width="17.36328125" style="3" customWidth="1"/>
    <col min="8" max="8" width="8.7265625" style="3"/>
    <col min="9" max="9" width="28.6328125" style="3" customWidth="1"/>
    <col min="10" max="10" width="13.36328125" style="3" bestFit="1" customWidth="1"/>
    <col min="11" max="16384" width="8.7265625" style="3"/>
  </cols>
  <sheetData>
    <row r="1" spans="1:6" ht="21" customHeight="1" x14ac:dyDescent="0.45">
      <c r="A1" s="1" t="s">
        <v>95</v>
      </c>
    </row>
    <row r="2" spans="1:6" ht="21" customHeight="1" x14ac:dyDescent="0.45">
      <c r="A2" s="1"/>
      <c r="B2" s="3" t="s">
        <v>102</v>
      </c>
    </row>
    <row r="3" spans="1:6" ht="21" customHeight="1" x14ac:dyDescent="0.35">
      <c r="B3" s="53" t="s">
        <v>96</v>
      </c>
      <c r="C3" s="54">
        <v>171</v>
      </c>
      <c r="D3" s="55" t="s">
        <v>97</v>
      </c>
      <c r="E3" s="43"/>
      <c r="F3" s="43"/>
    </row>
    <row r="4" spans="1:6" ht="21" customHeight="1" x14ac:dyDescent="0.35">
      <c r="B4" s="53" t="s">
        <v>98</v>
      </c>
      <c r="C4" s="54">
        <v>43</v>
      </c>
      <c r="D4" s="55" t="s">
        <v>99</v>
      </c>
      <c r="E4" s="43"/>
      <c r="F4" s="43"/>
    </row>
    <row r="5" spans="1:6" ht="21" customHeight="1" x14ac:dyDescent="0.35">
      <c r="B5" s="55" t="s">
        <v>124</v>
      </c>
      <c r="C5" s="57"/>
      <c r="D5" s="55"/>
      <c r="E5" s="43"/>
      <c r="F5" s="43"/>
    </row>
    <row r="6" spans="1:6" ht="21" customHeight="1" x14ac:dyDescent="0.35">
      <c r="B6" s="55" t="s">
        <v>137</v>
      </c>
      <c r="C6" s="57"/>
      <c r="D6" s="55"/>
      <c r="E6" s="43"/>
      <c r="F6" s="43"/>
    </row>
    <row r="7" spans="1:6" ht="21" customHeight="1" x14ac:dyDescent="0.35">
      <c r="B7" s="55"/>
      <c r="C7" s="57"/>
      <c r="D7" s="55"/>
      <c r="E7" s="43"/>
      <c r="F7" s="43"/>
    </row>
    <row r="8" spans="1:6" ht="21" customHeight="1" x14ac:dyDescent="0.45">
      <c r="A8" s="1" t="s">
        <v>109</v>
      </c>
      <c r="B8" s="55"/>
      <c r="C8" s="57"/>
      <c r="D8" s="55"/>
      <c r="E8" s="43"/>
      <c r="F8" s="43"/>
    </row>
    <row r="9" spans="1:6" ht="21" customHeight="1" x14ac:dyDescent="0.35">
      <c r="B9" s="60" t="s">
        <v>104</v>
      </c>
      <c r="C9" s="59">
        <f>165000</f>
        <v>165000</v>
      </c>
      <c r="D9" s="3" t="s">
        <v>111</v>
      </c>
    </row>
    <row r="10" spans="1:6" ht="21" customHeight="1" x14ac:dyDescent="0.35">
      <c r="B10" s="3" t="s">
        <v>112</v>
      </c>
      <c r="C10" s="60"/>
    </row>
    <row r="11" spans="1:6" ht="21" customHeight="1" x14ac:dyDescent="0.35">
      <c r="B11" s="53"/>
      <c r="C11" s="53"/>
    </row>
    <row r="12" spans="1:6" ht="21" customHeight="1" x14ac:dyDescent="0.45">
      <c r="A12" s="1" t="s">
        <v>121</v>
      </c>
    </row>
    <row r="13" spans="1:6" ht="21" customHeight="1" x14ac:dyDescent="0.35">
      <c r="B13" s="109" t="s">
        <v>14</v>
      </c>
      <c r="C13" s="112" t="s">
        <v>31</v>
      </c>
      <c r="D13" s="130" t="s">
        <v>100</v>
      </c>
      <c r="E13" s="130"/>
      <c r="F13" s="129" t="s">
        <v>95</v>
      </c>
    </row>
    <row r="14" spans="1:6" ht="21" customHeight="1" x14ac:dyDescent="0.35">
      <c r="B14" s="110"/>
      <c r="C14" s="113"/>
      <c r="D14" s="44" t="s">
        <v>101</v>
      </c>
      <c r="E14" s="44" t="s">
        <v>2</v>
      </c>
      <c r="F14" s="129"/>
    </row>
    <row r="15" spans="1:6" ht="21" customHeight="1" x14ac:dyDescent="0.35">
      <c r="B15" s="7" t="s">
        <v>34</v>
      </c>
      <c r="C15" s="51">
        <f>'Capacity Consumer'!C56</f>
        <v>6</v>
      </c>
      <c r="D15" s="37">
        <f>'Capacity Consumer'!C$23</f>
        <v>16</v>
      </c>
      <c r="E15" s="6">
        <f>'Capacity Consumer'!C$26</f>
        <v>64</v>
      </c>
      <c r="F15" s="46">
        <f>C15*(D15*C$3+E15*C$4)</f>
        <v>32928</v>
      </c>
    </row>
    <row r="16" spans="1:6" ht="21" customHeight="1" x14ac:dyDescent="0.35">
      <c r="B16" s="7" t="s">
        <v>35</v>
      </c>
      <c r="C16" s="51">
        <f>'Capacity Consumer'!C57</f>
        <v>1</v>
      </c>
      <c r="D16" s="6">
        <f>'Capacity Consumer'!D$23</f>
        <v>8</v>
      </c>
      <c r="E16" s="6">
        <f>'Capacity Consumer'!D$26</f>
        <v>32</v>
      </c>
      <c r="F16" s="47">
        <f>C16*(D16*C$3+E16*C$4)</f>
        <v>2744</v>
      </c>
    </row>
    <row r="17" spans="1:6" ht="21" customHeight="1" x14ac:dyDescent="0.35">
      <c r="B17" s="7" t="s">
        <v>36</v>
      </c>
      <c r="C17" s="51">
        <f>'Capacity Consumer'!C58</f>
        <v>3</v>
      </c>
      <c r="D17" s="6">
        <f>'Capacity Consumer'!E$23</f>
        <v>4</v>
      </c>
      <c r="E17" s="6">
        <f>'Capacity Consumer'!E$26</f>
        <v>16</v>
      </c>
      <c r="F17" s="48">
        <f>C17*(D17*C$3+E17*C$4)</f>
        <v>4116</v>
      </c>
    </row>
    <row r="18" spans="1:6" ht="21" customHeight="1" x14ac:dyDescent="0.35">
      <c r="B18" s="49" t="s">
        <v>38</v>
      </c>
      <c r="C18" s="49">
        <f>SUM(C15:C17)</f>
        <v>10</v>
      </c>
      <c r="D18" s="68"/>
      <c r="E18" s="69"/>
      <c r="F18" s="70">
        <f>SUM(F15:F17)</f>
        <v>39788</v>
      </c>
    </row>
    <row r="19" spans="1:6" ht="8.25" customHeight="1" thickBot="1" x14ac:dyDescent="0.4"/>
    <row r="20" spans="1:6" ht="21" customHeight="1" x14ac:dyDescent="0.35">
      <c r="D20" s="61" t="s">
        <v>108</v>
      </c>
      <c r="E20" s="62"/>
      <c r="F20" s="63">
        <f>F18*5</f>
        <v>198940</v>
      </c>
    </row>
    <row r="21" spans="1:6" ht="21" customHeight="1" thickBot="1" x14ac:dyDescent="0.4">
      <c r="D21" s="56" t="s">
        <v>110</v>
      </c>
      <c r="E21" s="64"/>
      <c r="F21" s="65">
        <f>ROUNDDOWN(F20-C$9,-3)</f>
        <v>33000</v>
      </c>
    </row>
    <row r="23" spans="1:6" ht="21" customHeight="1" x14ac:dyDescent="0.45">
      <c r="A23" s="1" t="s">
        <v>122</v>
      </c>
    </row>
    <row r="24" spans="1:6" ht="21" customHeight="1" x14ac:dyDescent="0.35">
      <c r="B24" s="109" t="s">
        <v>14</v>
      </c>
      <c r="C24" s="112" t="s">
        <v>31</v>
      </c>
      <c r="D24" s="130" t="s">
        <v>100</v>
      </c>
      <c r="E24" s="130"/>
      <c r="F24" s="129" t="s">
        <v>95</v>
      </c>
    </row>
    <row r="25" spans="1:6" ht="21" customHeight="1" x14ac:dyDescent="0.35">
      <c r="B25" s="110"/>
      <c r="C25" s="113"/>
      <c r="D25" s="44" t="s">
        <v>101</v>
      </c>
      <c r="E25" s="44" t="s">
        <v>2</v>
      </c>
      <c r="F25" s="129"/>
    </row>
    <row r="26" spans="1:6" ht="21" customHeight="1" x14ac:dyDescent="0.35">
      <c r="B26" s="7" t="s">
        <v>34</v>
      </c>
      <c r="C26" s="50">
        <f>'Capacity Consumer'!C66</f>
        <v>2</v>
      </c>
      <c r="D26" s="6">
        <f>'Capacity Consumer'!C$23</f>
        <v>16</v>
      </c>
      <c r="E26" s="6">
        <f>'Capacity Consumer'!C$26</f>
        <v>64</v>
      </c>
      <c r="F26" s="46">
        <f>C26*(D26*C$3+E26*C$4)</f>
        <v>10976</v>
      </c>
    </row>
    <row r="27" spans="1:6" ht="21" customHeight="1" x14ac:dyDescent="0.35">
      <c r="B27" s="7" t="s">
        <v>35</v>
      </c>
      <c r="C27" s="51">
        <f>'Capacity Consumer'!C67</f>
        <v>13</v>
      </c>
      <c r="D27" s="6">
        <f>'Capacity Consumer'!D$23</f>
        <v>8</v>
      </c>
      <c r="E27" s="6">
        <f>'Capacity Consumer'!D$26</f>
        <v>32</v>
      </c>
      <c r="F27" s="47">
        <f>C27*(D27*C$3+E27*C$4)</f>
        <v>35672</v>
      </c>
    </row>
    <row r="28" spans="1:6" ht="21" customHeight="1" x14ac:dyDescent="0.35">
      <c r="B28" s="7" t="s">
        <v>36</v>
      </c>
      <c r="C28" s="52">
        <f>'Capacity Consumer'!C68</f>
        <v>8</v>
      </c>
      <c r="D28" s="6">
        <f>'Capacity Consumer'!E$23</f>
        <v>4</v>
      </c>
      <c r="E28" s="6">
        <f>'Capacity Consumer'!E$26</f>
        <v>16</v>
      </c>
      <c r="F28" s="48">
        <f>C28*(D28*C$3+E28*C$4)</f>
        <v>10976</v>
      </c>
    </row>
    <row r="29" spans="1:6" ht="21" customHeight="1" x14ac:dyDescent="0.35">
      <c r="B29" s="28" t="s">
        <v>38</v>
      </c>
      <c r="C29" s="42">
        <f>SUM(C26:C28)</f>
        <v>23</v>
      </c>
      <c r="D29" s="68"/>
      <c r="E29" s="69"/>
      <c r="F29" s="45">
        <f>SUM(F26:F28)</f>
        <v>57624</v>
      </c>
    </row>
    <row r="30" spans="1:6" ht="8.25" customHeight="1" thickBot="1" x14ac:dyDescent="0.4"/>
    <row r="31" spans="1:6" ht="21" customHeight="1" x14ac:dyDescent="0.35">
      <c r="D31" s="61" t="s">
        <v>108</v>
      </c>
      <c r="E31" s="62"/>
      <c r="F31" s="63">
        <f>F29*5</f>
        <v>288120</v>
      </c>
    </row>
    <row r="32" spans="1:6" ht="21" customHeight="1" thickBot="1" x14ac:dyDescent="0.4">
      <c r="D32" s="56" t="s">
        <v>110</v>
      </c>
      <c r="E32" s="64"/>
      <c r="F32" s="65">
        <f>ROUNDDOWN(F31-C$9,-3)</f>
        <v>123000</v>
      </c>
    </row>
    <row r="34" spans="1:6" ht="21" customHeight="1" x14ac:dyDescent="0.45">
      <c r="A34" s="1" t="s">
        <v>123</v>
      </c>
    </row>
    <row r="35" spans="1:6" ht="21" customHeight="1" x14ac:dyDescent="0.35">
      <c r="B35" s="109" t="s">
        <v>14</v>
      </c>
      <c r="C35" s="112" t="s">
        <v>31</v>
      </c>
      <c r="D35" s="130" t="s">
        <v>100</v>
      </c>
      <c r="E35" s="130"/>
      <c r="F35" s="129" t="s">
        <v>95</v>
      </c>
    </row>
    <row r="36" spans="1:6" ht="21" customHeight="1" x14ac:dyDescent="0.35">
      <c r="B36" s="110"/>
      <c r="C36" s="113"/>
      <c r="D36" s="44" t="s">
        <v>101</v>
      </c>
      <c r="E36" s="44" t="s">
        <v>2</v>
      </c>
      <c r="F36" s="129"/>
    </row>
    <row r="37" spans="1:6" ht="21" customHeight="1" x14ac:dyDescent="0.35">
      <c r="B37" s="7" t="s">
        <v>34</v>
      </c>
      <c r="C37" s="50">
        <f>'Capacity Consumer'!C76</f>
        <v>1</v>
      </c>
      <c r="D37" s="6">
        <f>'Capacity Consumer'!C$23</f>
        <v>16</v>
      </c>
      <c r="E37" s="6">
        <f>'Capacity Consumer'!C$26</f>
        <v>64</v>
      </c>
      <c r="F37" s="46">
        <f>C37*(D37*C$3+E37*C$4)</f>
        <v>5488</v>
      </c>
    </row>
    <row r="38" spans="1:6" ht="21" customHeight="1" x14ac:dyDescent="0.35">
      <c r="B38" s="7" t="s">
        <v>35</v>
      </c>
      <c r="C38" s="51">
        <f>'Capacity Consumer'!C77</f>
        <v>6</v>
      </c>
      <c r="D38" s="6">
        <f>'Capacity Consumer'!D$23</f>
        <v>8</v>
      </c>
      <c r="E38" s="6">
        <f>'Capacity Consumer'!D$26</f>
        <v>32</v>
      </c>
      <c r="F38" s="47">
        <f>C38*(D38*C$3+E38*C$4)</f>
        <v>16464</v>
      </c>
    </row>
    <row r="39" spans="1:6" ht="21" customHeight="1" x14ac:dyDescent="0.35">
      <c r="B39" s="7" t="s">
        <v>36</v>
      </c>
      <c r="C39" s="52">
        <f>'Capacity Consumer'!C78</f>
        <v>27</v>
      </c>
      <c r="D39" s="6">
        <f>'Capacity Consumer'!E$23</f>
        <v>4</v>
      </c>
      <c r="E39" s="6">
        <f>'Capacity Consumer'!E$26</f>
        <v>16</v>
      </c>
      <c r="F39" s="48">
        <f>C39*(D39*C$3+E39*C$4)</f>
        <v>37044</v>
      </c>
    </row>
    <row r="40" spans="1:6" ht="21" customHeight="1" x14ac:dyDescent="0.35">
      <c r="B40" s="28" t="s">
        <v>38</v>
      </c>
      <c r="C40" s="42">
        <f>SUM(C37:C39)</f>
        <v>34</v>
      </c>
      <c r="D40" s="68"/>
      <c r="E40" s="69"/>
      <c r="F40" s="45">
        <f>SUM(F37:F39)</f>
        <v>58996</v>
      </c>
    </row>
    <row r="41" spans="1:6" ht="8.25" customHeight="1" thickBot="1" x14ac:dyDescent="0.4"/>
    <row r="42" spans="1:6" ht="21" customHeight="1" x14ac:dyDescent="0.35">
      <c r="D42" s="61" t="s">
        <v>108</v>
      </c>
      <c r="E42" s="62"/>
      <c r="F42" s="63">
        <f>F40*5</f>
        <v>294980</v>
      </c>
    </row>
    <row r="43" spans="1:6" ht="21" customHeight="1" thickBot="1" x14ac:dyDescent="0.4">
      <c r="D43" s="56" t="s">
        <v>110</v>
      </c>
      <c r="E43" s="64"/>
      <c r="F43" s="65">
        <f>ROUNDDOWN(F42-C$9,-3)</f>
        <v>129000</v>
      </c>
    </row>
    <row r="45" spans="1:6" ht="21" customHeight="1" x14ac:dyDescent="0.45">
      <c r="A45" s="1" t="s">
        <v>105</v>
      </c>
    </row>
    <row r="46" spans="1:6" ht="21" customHeight="1" x14ac:dyDescent="0.35">
      <c r="B46" s="55" t="s">
        <v>103</v>
      </c>
    </row>
    <row r="68" spans="3:6" ht="21" customHeight="1" x14ac:dyDescent="0.35">
      <c r="C68" s="57"/>
      <c r="D68" s="55"/>
      <c r="E68" s="43"/>
      <c r="F68" s="43"/>
    </row>
  </sheetData>
  <mergeCells count="12">
    <mergeCell ref="B13:B14"/>
    <mergeCell ref="C13:C14"/>
    <mergeCell ref="B24:B25"/>
    <mergeCell ref="C24:C25"/>
    <mergeCell ref="B35:B36"/>
    <mergeCell ref="C35:C36"/>
    <mergeCell ref="F13:F14"/>
    <mergeCell ref="F24:F25"/>
    <mergeCell ref="F35:F36"/>
    <mergeCell ref="D13:E13"/>
    <mergeCell ref="D24:E24"/>
    <mergeCell ref="D35:E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Read Me</vt:lpstr>
      <vt:lpstr>Capacity Provider</vt:lpstr>
      <vt:lpstr>Capacity Consumer</vt:lpstr>
      <vt:lpstr>Cost Comparison</vt:lpstr>
      <vt:lpstr>ESXi.CPU.Usable.Capacity.Allocation</vt:lpstr>
      <vt:lpstr>ESXi.CPU.Usable.Capacity.Reservation</vt:lpstr>
      <vt:lpstr>ESXi.CPU.Usable.Capacity.Utilization</vt:lpstr>
      <vt:lpstr>Hypervisor.Overhead.CPU</vt:lpstr>
      <vt:lpstr>Hypervisor.Overhead.Memory</vt:lpstr>
      <vt:lpstr>Silver.VM.RAM</vt:lpstr>
      <vt:lpstr>Silver.VM.vCPU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Rahabok</dc:creator>
  <cp:lastModifiedBy>Iwan Rahabok</cp:lastModifiedBy>
  <dcterms:created xsi:type="dcterms:W3CDTF">2025-05-02T12:34:05Z</dcterms:created>
  <dcterms:modified xsi:type="dcterms:W3CDTF">2026-03-22T09:44:26Z</dcterms:modified>
</cp:coreProperties>
</file>